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geudes\Desktop\"/>
    </mc:Choice>
  </mc:AlternateContent>
  <xr:revisionPtr revIDLastSave="0" documentId="13_ncr:1_{CFC788F8-F59E-4867-A496-29982581B3CD}" xr6:coauthVersionLast="36" xr6:coauthVersionMax="47" xr10:uidLastSave="{00000000-0000-0000-0000-000000000000}"/>
  <bookViews>
    <workbookView xWindow="-120" yWindow="-120" windowWidth="38640" windowHeight="21120" activeTab="1" xr2:uid="{B6EF6AAD-5AD2-41FA-80A9-AF6511C6E6AA}"/>
  </bookViews>
  <sheets>
    <sheet name="submission" sheetId="2" r:id="rId1"/>
    <sheet name="20250821_PDC Data_Sami Kazaz_EA" sheetId="1" r:id="rId2"/>
  </sheets>
  <calcPr calcId="191029"/>
</workbook>
</file>

<file path=xl/calcChain.xml><?xml version="1.0" encoding="utf-8"?>
<calcChain xmlns="http://schemas.openxmlformats.org/spreadsheetml/2006/main">
  <c r="L67" i="1" l="1"/>
  <c r="K55" i="1"/>
  <c r="L73" i="1" l="1"/>
  <c r="J67" i="1"/>
  <c r="K73" i="1"/>
  <c r="J73" i="1"/>
  <c r="K67" i="1"/>
  <c r="L61" i="1"/>
  <c r="J61" i="1"/>
  <c r="K61" i="1"/>
  <c r="L55" i="1"/>
  <c r="J55" i="1"/>
  <c r="H61" i="1" l="1"/>
  <c r="I73" i="1"/>
  <c r="I67" i="1"/>
  <c r="I61" i="1"/>
  <c r="I55" i="1"/>
  <c r="H73" i="1"/>
  <c r="H67" i="1"/>
  <c r="H55" i="1"/>
  <c r="E51" i="1"/>
  <c r="F51" i="1"/>
  <c r="G51" i="1"/>
  <c r="E52" i="1"/>
  <c r="F52" i="1"/>
  <c r="G52" i="1"/>
  <c r="E53" i="1"/>
  <c r="F53" i="1"/>
  <c r="G53" i="1"/>
  <c r="E54" i="1"/>
  <c r="F54" i="1"/>
  <c r="G54" i="1" s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G50" i="1"/>
  <c r="F50" i="1"/>
  <c r="E50" i="1"/>
  <c r="D51" i="1" l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50" i="1"/>
  <c r="G13" i="1"/>
  <c r="G12" i="1" s="1"/>
  <c r="G11" i="1" s="1"/>
  <c r="G10" i="1" s="1"/>
  <c r="G9" i="1" s="1"/>
  <c r="G8" i="1" s="1"/>
  <c r="G7" i="1" s="1"/>
</calcChain>
</file>

<file path=xl/sharedStrings.xml><?xml version="1.0" encoding="utf-8"?>
<sst xmlns="http://schemas.openxmlformats.org/spreadsheetml/2006/main" count="273" uniqueCount="161">
  <si>
    <t>Formula</t>
  </si>
  <si>
    <t>Mass</t>
  </si>
  <si>
    <t>RT</t>
  </si>
  <si>
    <t>MET1105_20250821_044_b10</t>
  </si>
  <si>
    <t>MET1105_20250821_045_PDC-1.5625uM</t>
  </si>
  <si>
    <t>MET1105_20250821_046_PDC-3.125uM</t>
  </si>
  <si>
    <t>MET1105_20250821_047_PDC-6.25uM</t>
  </si>
  <si>
    <t>MET1105_20250821_048_PDC-12.5uM</t>
  </si>
  <si>
    <t>MET1105_20250821_049_PDC-25uM</t>
  </si>
  <si>
    <t>MET1105_20250821_050_PDC-50uM</t>
  </si>
  <si>
    <t>MET1105_20250821_051_PDC-100uM</t>
  </si>
  <si>
    <t>MET1105_20250821_052_PDC-200uM</t>
  </si>
  <si>
    <t>MET1105_20250821_053_b11</t>
  </si>
  <si>
    <t>MET1105_20250821_054_b12</t>
  </si>
  <si>
    <t>MET1105_20250821_105_ST1_100XDil</t>
  </si>
  <si>
    <t>MET1105_20250821_106_ST2_100XDil</t>
  </si>
  <si>
    <t>MET1105_20250821_107_ST3_100XDil</t>
  </si>
  <si>
    <t>MET1105_20250821_108_ST4_100XDil</t>
  </si>
  <si>
    <t>MET1105_20250821_109_ST5_100XDil</t>
  </si>
  <si>
    <t>MET1105_20250821_110_ST6_100XDil</t>
  </si>
  <si>
    <t>MET1105_20250821_111_ST7_100XDil</t>
  </si>
  <si>
    <t>MET1105_20250821_112_ST8_100XDil</t>
  </si>
  <si>
    <t>MET1105_20250821_113_ST9_100XDil</t>
  </si>
  <si>
    <t>MET1105_20250821_114_ST10_100XDil</t>
  </si>
  <si>
    <t>MET1105_20250821_115_ST11_100XDil</t>
  </si>
  <si>
    <t>MET1105_20250821_116_ST12_100XDil</t>
  </si>
  <si>
    <t>MET1105_20250821_117_ST13_100XDil</t>
  </si>
  <si>
    <t>MET1105_20250821_118_ST14_100XDil</t>
  </si>
  <si>
    <t>MET1105_20250821_119_ST15_100XDil</t>
  </si>
  <si>
    <t>MET1105_20250821_120_ST16_100XDil</t>
  </si>
  <si>
    <t>MET1105_20250821_121_ST17_100XDil</t>
  </si>
  <si>
    <t>MET1105_20250821_122_ST18_100XDil</t>
  </si>
  <si>
    <t>MET1105_20250821_123_ST19_100XDil</t>
  </si>
  <si>
    <t>MET1105_20250821_124_ST20_100XDil</t>
  </si>
  <si>
    <t>MET1105_20250821_125_ST21_100XDil</t>
  </si>
  <si>
    <t>MET1105_20250821_126_ST22_100XDil</t>
  </si>
  <si>
    <t>MET1105_20250821_127_ST23_100XDil</t>
  </si>
  <si>
    <t>MET1105_20250821_128_ST24_100XDil</t>
  </si>
  <si>
    <t>MET1105_20250821_129_b15</t>
  </si>
  <si>
    <t>PDC</t>
  </si>
  <si>
    <t>C7 H4 O6</t>
  </si>
  <si>
    <t>File name</t>
  </si>
  <si>
    <t>Area</t>
  </si>
  <si>
    <r>
      <t>Conc. [</t>
    </r>
    <r>
      <rPr>
        <sz val="11"/>
        <color theme="1"/>
        <rFont val="Aptos Narrow"/>
        <family val="2"/>
      </rPr>
      <t>µM]</t>
    </r>
  </si>
  <si>
    <t>Slope</t>
  </si>
  <si>
    <r>
      <t>R</t>
    </r>
    <r>
      <rPr>
        <vertAlign val="superscript"/>
        <sz val="11"/>
        <color theme="1"/>
        <rFont val="Aptos Narrow"/>
        <family val="2"/>
        <scheme val="minor"/>
      </rPr>
      <t>2</t>
    </r>
  </si>
  <si>
    <t>b - denotes a blank sample</t>
  </si>
  <si>
    <r>
      <t>Concentration [</t>
    </r>
    <r>
      <rPr>
        <sz val="11"/>
        <color theme="1"/>
        <rFont val="Aptos Narrow"/>
        <family val="2"/>
      </rPr>
      <t>µM]</t>
    </r>
  </si>
  <si>
    <t>Guidelines</t>
  </si>
  <si>
    <t>1. Send us a completed sample submission form and compound information table (see below).</t>
  </si>
  <si>
    <t>2. Sample order must match the list order on the metabolomics table submission form.</t>
  </si>
  <si>
    <r>
      <rPr>
        <b/>
        <sz val="11"/>
        <color theme="1"/>
        <rFont val="Aptos Narrow"/>
        <family val="2"/>
        <scheme val="minor"/>
      </rPr>
      <t xml:space="preserve">3. Samples must be delivered </t>
    </r>
    <r>
      <rPr>
        <b/>
        <sz val="11"/>
        <color rgb="FFC00000"/>
        <rFont val="Aptos Narrow"/>
        <family val="2"/>
        <scheme val="minor"/>
      </rPr>
      <t>the day before the</t>
    </r>
    <r>
      <rPr>
        <b/>
        <sz val="11"/>
        <color theme="1"/>
        <rFont val="Aptos Narrow"/>
        <family val="2"/>
        <scheme val="minor"/>
      </rPr>
      <t xml:space="preserve"> LC-MS run. You can place them in RF-103 in Syn Bio 3.</t>
    </r>
  </si>
  <si>
    <r>
      <rPr>
        <b/>
        <sz val="14"/>
        <color theme="1"/>
        <rFont val="Aptos Narrow"/>
        <family val="2"/>
        <scheme val="minor"/>
      </rPr>
      <t xml:space="preserve">4. Retrieve your samples from RF-103 </t>
    </r>
    <r>
      <rPr>
        <b/>
        <sz val="14"/>
        <color rgb="FFC00000"/>
        <rFont val="Aptos Narrow"/>
        <family val="2"/>
        <scheme val="minor"/>
      </rPr>
      <t>immediately</t>
    </r>
    <r>
      <rPr>
        <b/>
        <sz val="14"/>
        <color theme="1"/>
        <rFont val="Aptos Narrow"/>
        <family val="2"/>
        <scheme val="minor"/>
      </rPr>
      <t xml:space="preserve"> after you receive your data. </t>
    </r>
    <r>
      <rPr>
        <b/>
        <sz val="14"/>
        <color rgb="FFC00000"/>
        <rFont val="Aptos Narrow"/>
        <family val="2"/>
        <scheme val="minor"/>
      </rPr>
      <t xml:space="preserve">Samples may be lost after our weekly clean up of the freezer. </t>
    </r>
  </si>
  <si>
    <r>
      <rPr>
        <b/>
        <sz val="11"/>
        <color theme="1"/>
        <rFont val="Aptos Narrow"/>
        <family val="2"/>
        <scheme val="minor"/>
      </rPr>
      <t xml:space="preserve">5. If you are using glass LC vials with inserts, make sure the sample volume is &gt;20 </t>
    </r>
    <r>
      <rPr>
        <b/>
        <sz val="11"/>
        <color theme="1"/>
        <rFont val="Calibri"/>
        <family val="2"/>
      </rPr>
      <t>µL.</t>
    </r>
  </si>
  <si>
    <t>6. Make sure your samples are filtered to remove particulates, proteins, etc., and are free of air bubbles. Please use &lt;10k MW/CO centrifuge filters in either 96 well format or eppendorf-type tubes.</t>
  </si>
  <si>
    <r>
      <rPr>
        <b/>
        <sz val="11"/>
        <color theme="1"/>
        <rFont val="Aptos Narrow"/>
        <family val="2"/>
        <scheme val="minor"/>
      </rPr>
      <t xml:space="preserve">7. Calibration curves must start from lowest to highest concentration and </t>
    </r>
    <r>
      <rPr>
        <b/>
        <sz val="11"/>
        <color rgb="FFC00000"/>
        <rFont val="Aptos Narrow"/>
        <family val="2"/>
        <scheme val="minor"/>
      </rPr>
      <t>at the beginning of the worklist</t>
    </r>
    <r>
      <rPr>
        <b/>
        <sz val="11"/>
        <color theme="1"/>
        <rFont val="Aptos Narrow"/>
        <family val="2"/>
        <scheme val="minor"/>
      </rPr>
      <t xml:space="preserve">. </t>
    </r>
  </si>
  <si>
    <t>Note: the above guidelines must be followed in order for your samples to analyzed.</t>
  </si>
  <si>
    <t xml:space="preserve">Project background: </t>
  </si>
  <si>
    <t>transient gene expression in tobacco leaves</t>
  </si>
  <si>
    <t>Goal of  the project:</t>
  </si>
  <si>
    <t>in planta production of 2-Pyrone-4,6-Dicarboxylic Acid (PDC)</t>
  </si>
  <si>
    <t xml:space="preserve">Goal of the experiment: </t>
  </si>
  <si>
    <t>measure PDC in tobacco leaves</t>
  </si>
  <si>
    <t>Sample/media/buffer components:</t>
  </si>
  <si>
    <t>50% MeOH:H2O</t>
  </si>
  <si>
    <t>Sample/media/buffer pH:</t>
  </si>
  <si>
    <t>na</t>
  </si>
  <si>
    <t xml:space="preserve">EDD Experiment description template </t>
  </si>
  <si>
    <t>Sample ID</t>
  </si>
  <si>
    <t>Line Name</t>
  </si>
  <si>
    <t>Line Description</t>
  </si>
  <si>
    <t>Organism</t>
  </si>
  <si>
    <t>Genotype/background</t>
  </si>
  <si>
    <t>Part ID</t>
  </si>
  <si>
    <t>Dilution</t>
  </si>
  <si>
    <t>Dry/fresh weight (mg)</t>
  </si>
  <si>
    <t>Total extracted volume (mL)</t>
  </si>
  <si>
    <t>Acid hydrolysis (Y/N)</t>
  </si>
  <si>
    <t>Extraction solvent(s)</t>
  </si>
  <si>
    <r>
      <t>Extraction temperature (</t>
    </r>
    <r>
      <rPr>
        <b/>
        <sz val="12"/>
        <color theme="1"/>
        <rFont val="Symbol"/>
        <family val="1"/>
        <charset val="2"/>
      </rPr>
      <t>°</t>
    </r>
    <r>
      <rPr>
        <b/>
        <sz val="12"/>
        <color theme="1"/>
        <rFont val="Aptos Narrow"/>
        <family val="2"/>
        <scheme val="minor"/>
      </rPr>
      <t>C)</t>
    </r>
  </si>
  <si>
    <t>Sample medium</t>
  </si>
  <si>
    <t>Project (e.g. JBEI)</t>
  </si>
  <si>
    <t>EDD link</t>
  </si>
  <si>
    <t>Replicate Count</t>
  </si>
  <si>
    <t>ST1</t>
  </si>
  <si>
    <t>NH_AroG-QsuB-LigA-LigB-LigC_1-1</t>
  </si>
  <si>
    <t>Transient gene expression trial (PDC)</t>
  </si>
  <si>
    <t>Tobacco</t>
  </si>
  <si>
    <t>n/a</t>
  </si>
  <si>
    <t>10X</t>
  </si>
  <si>
    <t>N</t>
  </si>
  <si>
    <t>MeOH 80%</t>
  </si>
  <si>
    <t>21C</t>
  </si>
  <si>
    <t>MeOH 50%</t>
  </si>
  <si>
    <t>6 independent plants (same construct and background) times four independent experiments
Non-hydrolyzed samples
20X dilution</t>
  </si>
  <si>
    <t>ST2</t>
  </si>
  <si>
    <t>NH_AroG-QsuB-LigA-LigB-LigC_1-2</t>
  </si>
  <si>
    <t>ST3</t>
  </si>
  <si>
    <t>NH_AroG-QsuB-LigA-LigB-LigC_1-3</t>
  </si>
  <si>
    <t>ST4</t>
  </si>
  <si>
    <t>NH_AroG-QsuB-LigA-LigB-LigC_1-4</t>
  </si>
  <si>
    <t>ST5</t>
  </si>
  <si>
    <t>NH_AroG-QsuB-LigA-LigB-LigC_1-5</t>
  </si>
  <si>
    <t>ST6</t>
  </si>
  <si>
    <t>NH_AroG-QsuB-LigA-LigB-LigC_1-6</t>
  </si>
  <si>
    <t>ST7</t>
  </si>
  <si>
    <t>NH_AroG-QsuB-LigA-LigB-LigC_2-1</t>
  </si>
  <si>
    <t>ST8</t>
  </si>
  <si>
    <t>NH_AroG-QsuB-LigA-LigB-LigC_2-2</t>
  </si>
  <si>
    <t>ST9</t>
  </si>
  <si>
    <t>NH_AroG-QsuB-LigA-LigB-LigC_2-3</t>
  </si>
  <si>
    <t>ST10</t>
  </si>
  <si>
    <t>NH_AroG-QsuB-LigA-LigB-LigC_2-4</t>
  </si>
  <si>
    <t>ST11</t>
  </si>
  <si>
    <t>NH_AroG-QsuB-LigA-LigB-LigC_2-5</t>
  </si>
  <si>
    <t>ST12</t>
  </si>
  <si>
    <t>NH_AroG-QsuB-LigA-LigB-LigC_2-6</t>
  </si>
  <si>
    <t>ST13</t>
  </si>
  <si>
    <t>NH_AroG-QsuB-LigA-LigB-LigC_3-1</t>
  </si>
  <si>
    <t>ST14</t>
  </si>
  <si>
    <t>NH_AroG-QsuB-LigA-LigB-LigC_3-2</t>
  </si>
  <si>
    <t>ST15</t>
  </si>
  <si>
    <t>NH_AroG-QsuB-LigA-LigB-LigC_3-3</t>
  </si>
  <si>
    <t>ST16</t>
  </si>
  <si>
    <t>NH_AroG-QsuB-LigA-LigB-LigC_3-4</t>
  </si>
  <si>
    <t>ST17</t>
  </si>
  <si>
    <t>NH_AroG-QsuB-LigA-LigB-LigC_3-5</t>
  </si>
  <si>
    <t>ST18</t>
  </si>
  <si>
    <t>NH_AroG-QsuB-LigA-LigB-LigC_3-6</t>
  </si>
  <si>
    <t>ST19</t>
  </si>
  <si>
    <t>NH_AroG-QsuB-LigA-LigB-LigC_4-1</t>
  </si>
  <si>
    <t>ST20</t>
  </si>
  <si>
    <t>NH_AroG-QsuB-LigA-LigB-LigC_4-2</t>
  </si>
  <si>
    <t>ST21</t>
  </si>
  <si>
    <t>NH_AroG-QsuB-LigA-LigB-LigC_4-3</t>
  </si>
  <si>
    <t>ST22</t>
  </si>
  <si>
    <t>NH_AroG-QsuB-LigA-LigB-LigC_4-4</t>
  </si>
  <si>
    <t>ST23</t>
  </si>
  <si>
    <t>NH_AroG-QsuB-LigA-LigB-LigC_4-5</t>
  </si>
  <si>
    <t>ST24</t>
  </si>
  <si>
    <t>NH_AroG-QsuB-LigA-LigB-LigC_4-6</t>
  </si>
  <si>
    <t>PDC 1.5625 uM</t>
  </si>
  <si>
    <t>PDC 3.125 uM</t>
  </si>
  <si>
    <t>PDC 6.25 uM</t>
  </si>
  <si>
    <t>PDC 12.5 uM</t>
  </si>
  <si>
    <t>PDC 25 uM</t>
  </si>
  <si>
    <t>PDC 50 uM</t>
  </si>
  <si>
    <t>PDC 100 uM</t>
  </si>
  <si>
    <t>PDC 200 uM</t>
  </si>
  <si>
    <t>Compound information</t>
  </si>
  <si>
    <t>2-Pyrone-4,6-Dicarboxylic Acid (PDC)</t>
  </si>
  <si>
    <t>Retention time (min, if known)</t>
  </si>
  <si>
    <t>[M-H]-</t>
  </si>
  <si>
    <t>[M + H]+</t>
  </si>
  <si>
    <t>Line name</t>
  </si>
  <si>
    <t>Use the 100X diluted data</t>
  </si>
  <si>
    <t>umoles</t>
  </si>
  <si>
    <t>ug</t>
  </si>
  <si>
    <t>mg/g</t>
  </si>
  <si>
    <t>stdev</t>
  </si>
  <si>
    <t>P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</si>
</sst>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/d/yy;@"/>
    <numFmt numFmtId="165" formatCode="0.0"/>
    <numFmt numFmtId="166" formatCode="_(* #,##0_);_(* \(#,##0\);_(* &quot;-&quot;??_);_(@_)"/>
    <numFmt numFmtId="167" formatCode="0.000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5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Symbol"/>
      <family val="1"/>
      <charset val="2"/>
    </font>
    <font>
      <sz val="12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0" fontId="20" fillId="33" borderId="17" xfId="0" applyFont="1" applyFill="1" applyBorder="1" applyAlignment="1">
      <alignment horizontal="left"/>
    </xf>
    <xf numFmtId="0" fontId="0" fillId="33" borderId="18" xfId="0" applyFill="1" applyBorder="1" applyAlignment="1">
      <alignment horizontal="center"/>
    </xf>
    <xf numFmtId="0" fontId="0" fillId="33" borderId="19" xfId="0" applyFill="1" applyBorder="1" applyAlignment="1">
      <alignment horizontal="center"/>
    </xf>
    <xf numFmtId="0" fontId="16" fillId="33" borderId="20" xfId="0" applyFont="1" applyFill="1" applyBorder="1" applyAlignment="1">
      <alignment horizontal="left"/>
    </xf>
    <xf numFmtId="0" fontId="16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33" borderId="21" xfId="0" applyFill="1" applyBorder="1" applyAlignment="1">
      <alignment horizontal="center"/>
    </xf>
    <xf numFmtId="0" fontId="22" fillId="33" borderId="20" xfId="0" applyFont="1" applyFill="1" applyBorder="1" applyAlignment="1">
      <alignment horizontal="left"/>
    </xf>
    <xf numFmtId="0" fontId="21" fillId="33" borderId="22" xfId="0" applyFont="1" applyFill="1" applyBorder="1" applyAlignment="1">
      <alignment horizontal="left"/>
    </xf>
    <xf numFmtId="0" fontId="16" fillId="33" borderId="23" xfId="0" applyFont="1" applyFill="1" applyBorder="1" applyAlignment="1">
      <alignment horizontal="center"/>
    </xf>
    <xf numFmtId="0" fontId="0" fillId="33" borderId="23" xfId="0" applyFill="1" applyBorder="1" applyAlignment="1">
      <alignment horizontal="center"/>
    </xf>
    <xf numFmtId="0" fontId="0" fillId="33" borderId="24" xfId="0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64" fontId="27" fillId="0" borderId="25" xfId="0" applyNumberFormat="1" applyFont="1" applyBorder="1" applyAlignment="1">
      <alignment horizontal="left"/>
    </xf>
    <xf numFmtId="0" fontId="28" fillId="0" borderId="0" xfId="0" applyFont="1" applyAlignment="1">
      <alignment horizontal="center"/>
    </xf>
    <xf numFmtId="164" fontId="29" fillId="0" borderId="26" xfId="0" applyNumberFormat="1" applyFont="1" applyBorder="1" applyAlignment="1">
      <alignment horizontal="left"/>
    </xf>
    <xf numFmtId="0" fontId="29" fillId="0" borderId="0" xfId="0" applyFont="1" applyAlignment="1">
      <alignment horizontal="center"/>
    </xf>
    <xf numFmtId="0" fontId="29" fillId="0" borderId="25" xfId="0" applyFont="1" applyBorder="1" applyAlignment="1">
      <alignment horizontal="center"/>
    </xf>
    <xf numFmtId="0" fontId="29" fillId="0" borderId="26" xfId="0" applyFont="1" applyBorder="1" applyAlignment="1">
      <alignment horizontal="center"/>
    </xf>
    <xf numFmtId="0" fontId="29" fillId="0" borderId="27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29" fillId="0" borderId="25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31" fillId="0" borderId="30" xfId="0" applyFont="1" applyBorder="1" applyAlignment="1">
      <alignment horizontal="center" vertical="center" wrapText="1"/>
    </xf>
    <xf numFmtId="0" fontId="29" fillId="0" borderId="30" xfId="0" applyFont="1" applyBorder="1" applyAlignment="1">
      <alignment horizontal="center"/>
    </xf>
    <xf numFmtId="0" fontId="29" fillId="0" borderId="30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3" fontId="16" fillId="0" borderId="26" xfId="0" applyNumberFormat="1" applyFont="1" applyBorder="1" applyAlignment="1">
      <alignment horizontal="center"/>
    </xf>
    <xf numFmtId="4" fontId="0" fillId="0" borderId="26" xfId="0" applyNumberForma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165" fontId="0" fillId="34" borderId="25" xfId="0" applyNumberFormat="1" applyFill="1" applyBorder="1" applyAlignment="1">
      <alignment horizontal="center"/>
    </xf>
    <xf numFmtId="165" fontId="0" fillId="34" borderId="26" xfId="0" applyNumberFormat="1" applyFill="1" applyBorder="1" applyAlignment="1">
      <alignment horizontal="center"/>
    </xf>
    <xf numFmtId="165" fontId="0" fillId="34" borderId="30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5" borderId="0" xfId="0" applyFill="1" applyBorder="1" applyAlignment="1">
      <alignment horizontal="center"/>
    </xf>
    <xf numFmtId="2" fontId="0" fillId="35" borderId="16" xfId="0" applyNumberFormat="1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0" fillId="35" borderId="31" xfId="0" applyFill="1" applyBorder="1" applyAlignment="1">
      <alignment horizontal="center"/>
    </xf>
    <xf numFmtId="2" fontId="0" fillId="35" borderId="14" xfId="0" applyNumberFormat="1" applyFill="1" applyBorder="1" applyAlignment="1">
      <alignment horizontal="center"/>
    </xf>
    <xf numFmtId="0" fontId="0" fillId="0" borderId="0" xfId="0" applyFill="1" applyBorder="1"/>
    <xf numFmtId="166" fontId="0" fillId="0" borderId="12" xfId="42" applyNumberFormat="1" applyFont="1" applyBorder="1" applyAlignment="1">
      <alignment horizontal="center"/>
    </xf>
    <xf numFmtId="166" fontId="0" fillId="0" borderId="16" xfId="42" applyNumberFormat="1" applyFont="1" applyBorder="1" applyAlignment="1">
      <alignment horizontal="center"/>
    </xf>
    <xf numFmtId="166" fontId="0" fillId="0" borderId="14" xfId="42" applyNumberFormat="1" applyFont="1" applyBorder="1" applyAlignment="1">
      <alignment horizontal="center"/>
    </xf>
    <xf numFmtId="167" fontId="0" fillId="0" borderId="0" xfId="0" applyNumberFormat="1"/>
    <xf numFmtId="1" fontId="0" fillId="0" borderId="0" xfId="0" applyNumberFormat="1"/>
    <xf numFmtId="0" fontId="0" fillId="0" borderId="32" xfId="0" applyBorder="1"/>
    <xf numFmtId="0" fontId="0" fillId="0" borderId="27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167" fontId="33" fillId="0" borderId="0" xfId="0" applyNumberFormat="1" applyFont="1"/>
    <xf numFmtId="167" fontId="34" fillId="0" borderId="0" xfId="0" applyNumberFormat="1" applyFont="1"/>
    <xf numFmtId="0" fontId="28" fillId="0" borderId="25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'20250821_PDC Data_Sami Kazaz_EA'!$H$6</c:f>
              <c:strCache>
                <c:ptCount val="1"/>
                <c:pt idx="0">
                  <c:v>PDC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5287904636920386"/>
                  <c:y val="-1.4305555555555556E-2"/>
                </c:manualLayout>
              </c:layout>
              <c:numFmt formatCode="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'20250821_PDC Data_Sami Kazaz_EA'!$G$7:$G$12</c:f>
              <c:numCache>
                <c:formatCode>General</c:formatCode>
                <c:ptCount val="6"/>
                <c:pt idx="0">
                  <c:v>1.5625</c:v>
                </c:pt>
                <c:pt idx="1">
                  <c:v>3.125</c:v>
                </c:pt>
                <c:pt idx="2">
                  <c:v>6.25</c:v>
                </c:pt>
                <c:pt idx="3">
                  <c:v>12.5</c:v>
                </c:pt>
                <c:pt idx="4">
                  <c:v>25</c:v>
                </c:pt>
                <c:pt idx="5">
                  <c:v>50</c:v>
                </c:pt>
              </c:numCache>
            </c:numRef>
          </c:xVal>
          <c:yVal>
            <c:numRef>
              <c:f>'20250821_PDC Data_Sami Kazaz_EA'!$H$7:$H$12</c:f>
              <c:numCache>
                <c:formatCode>_(* #,##0_);_(* \(#,##0\);_(* "-"??_);_(@_)</c:formatCode>
                <c:ptCount val="6"/>
                <c:pt idx="0">
                  <c:v>15324.3731790865</c:v>
                </c:pt>
                <c:pt idx="1">
                  <c:v>18566.218203725901</c:v>
                </c:pt>
                <c:pt idx="2">
                  <c:v>59518.160125000002</c:v>
                </c:pt>
                <c:pt idx="3">
                  <c:v>115694.91601802901</c:v>
                </c:pt>
                <c:pt idx="4">
                  <c:v>214706.553733173</c:v>
                </c:pt>
                <c:pt idx="5">
                  <c:v>454181.336115985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8D-42CC-B1A9-309EBFA24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299407"/>
        <c:axId val="604301807"/>
      </c:scatterChart>
      <c:valAx>
        <c:axId val="60429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01807"/>
        <c:crosses val="autoZero"/>
        <c:crossBetween val="midCat"/>
      </c:valAx>
      <c:valAx>
        <c:axId val="604301807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29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131763</xdr:colOff>
      <xdr:row>1</xdr:row>
      <xdr:rowOff>152400</xdr:rowOff>
    </xdr:from>
    <xdr:to>
      <xdr:col>15</xdr:col>
      <xdr:colOff>436563</xdr:colOff>
      <xdr:row>15</xdr:row>
      <xdr:rowOff>203200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7F072-3F2E-4882-C6F3-244C0CAF5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74E5-AC43-4DF5-9796-71F220A856EA}">
  <dimension ref="B2:T87"/>
  <sheetViews>
    <sheetView topLeftCell="D20" zoomScale="97" zoomScaleNormal="97" workbookViewId="0">
      <selection activeCell="I24" sqref="I24:I47"/>
    </sheetView>
  </sheetViews>
  <sheetFormatPr defaultColWidth="8.83203125" defaultRowHeight="14"/>
  <cols>
    <col min="1" max="1" width="8.83203125" style="1"/>
    <col min="2" max="2" width="46" style="1" bestFit="1" customWidth="1"/>
    <col min="3" max="3" width="71.1640625" style="1" customWidth="1"/>
    <col min="4" max="4" width="52.75" style="1" bestFit="1" customWidth="1"/>
    <col min="5" max="6" width="21.25" style="1" bestFit="1" customWidth="1"/>
    <col min="7" max="7" width="22.25" style="1" bestFit="1" customWidth="1"/>
    <col min="8" max="8" width="27.75" style="1" bestFit="1" customWidth="1"/>
    <col min="9" max="9" width="20" style="1" bestFit="1" customWidth="1"/>
    <col min="10" max="10" width="25" style="1" bestFit="1" customWidth="1"/>
    <col min="11" max="11" width="18.75" style="1" bestFit="1" customWidth="1"/>
    <col min="12" max="12" width="18.25" style="1" bestFit="1" customWidth="1"/>
    <col min="13" max="13" width="24.25" style="1" bestFit="1" customWidth="1"/>
    <col min="14" max="14" width="14.75" style="1" bestFit="1" customWidth="1"/>
    <col min="15" max="15" width="16.4140625" style="1" bestFit="1" customWidth="1"/>
    <col min="16" max="16" width="8.83203125" style="1"/>
    <col min="17" max="17" width="32.4140625" style="1" bestFit="1" customWidth="1"/>
    <col min="18" max="19" width="15.1640625" style="1" bestFit="1" customWidth="1"/>
    <col min="20" max="16384" width="8.83203125" style="1"/>
  </cols>
  <sheetData>
    <row r="2" spans="3:15">
      <c r="C2" s="10" t="s">
        <v>48</v>
      </c>
      <c r="D2" s="11"/>
      <c r="E2" s="11"/>
      <c r="F2" s="11"/>
      <c r="G2" s="11"/>
      <c r="H2" s="11"/>
      <c r="I2" s="11"/>
      <c r="J2" s="11"/>
      <c r="K2" s="11"/>
      <c r="L2" s="12"/>
    </row>
    <row r="3" spans="3:15">
      <c r="C3" s="13" t="s">
        <v>49</v>
      </c>
      <c r="D3" s="14"/>
      <c r="E3" s="14"/>
      <c r="F3" s="14"/>
      <c r="G3" s="15"/>
      <c r="H3" s="15"/>
      <c r="I3" s="15"/>
      <c r="J3" s="15"/>
      <c r="K3" s="15"/>
      <c r="L3" s="16"/>
    </row>
    <row r="4" spans="3:15">
      <c r="C4" s="13" t="s">
        <v>50</v>
      </c>
      <c r="D4" s="14"/>
      <c r="E4" s="14"/>
      <c r="F4" s="14"/>
      <c r="G4" s="15"/>
      <c r="H4" s="15"/>
      <c r="I4" s="15"/>
      <c r="J4" s="15"/>
      <c r="K4" s="15"/>
      <c r="L4" s="16"/>
    </row>
    <row r="5" spans="3:15">
      <c r="C5" s="13" t="s">
        <v>51</v>
      </c>
      <c r="D5" s="14"/>
      <c r="E5" s="14"/>
      <c r="F5" s="14"/>
      <c r="G5" s="15"/>
      <c r="H5" s="15"/>
      <c r="I5" s="15"/>
      <c r="J5" s="15"/>
      <c r="K5" s="15"/>
      <c r="L5" s="16"/>
    </row>
    <row r="6" spans="3:15" ht="18">
      <c r="C6" s="17" t="s">
        <v>52</v>
      </c>
      <c r="D6" s="14"/>
      <c r="E6" s="14"/>
      <c r="F6" s="14"/>
      <c r="G6" s="15"/>
      <c r="H6" s="15"/>
      <c r="I6" s="15"/>
      <c r="J6" s="15"/>
      <c r="K6" s="15"/>
      <c r="L6" s="16"/>
    </row>
    <row r="7" spans="3:15" ht="14.5">
      <c r="C7" s="13" t="s">
        <v>53</v>
      </c>
      <c r="D7" s="14"/>
      <c r="E7" s="14"/>
      <c r="F7" s="14"/>
      <c r="G7" s="15"/>
      <c r="H7" s="15"/>
      <c r="I7" s="15"/>
      <c r="J7" s="15"/>
      <c r="K7" s="15"/>
      <c r="L7" s="16"/>
    </row>
    <row r="8" spans="3:15">
      <c r="C8" s="13" t="s">
        <v>54</v>
      </c>
      <c r="D8" s="14"/>
      <c r="E8" s="14"/>
      <c r="F8" s="14"/>
      <c r="G8" s="15"/>
      <c r="H8" s="15"/>
      <c r="I8" s="15"/>
      <c r="J8" s="15"/>
      <c r="K8" s="15"/>
      <c r="L8" s="16"/>
    </row>
    <row r="9" spans="3:15">
      <c r="C9" s="13" t="s">
        <v>55</v>
      </c>
      <c r="D9" s="14"/>
      <c r="E9" s="14"/>
      <c r="F9" s="14"/>
      <c r="G9" s="15"/>
      <c r="H9" s="15"/>
      <c r="I9" s="15"/>
      <c r="J9" s="15"/>
      <c r="K9" s="15"/>
      <c r="L9" s="16"/>
    </row>
    <row r="10" spans="3:15">
      <c r="C10" s="18" t="s">
        <v>56</v>
      </c>
      <c r="D10" s="19"/>
      <c r="E10" s="19"/>
      <c r="F10" s="19"/>
      <c r="G10" s="20"/>
      <c r="H10" s="20"/>
      <c r="I10" s="20"/>
      <c r="J10" s="20"/>
      <c r="K10" s="20"/>
      <c r="L10" s="21"/>
    </row>
    <row r="11" spans="3:15">
      <c r="C11" s="22"/>
      <c r="D11" s="22"/>
    </row>
    <row r="12" spans="3:15">
      <c r="C12" s="23" t="s">
        <v>57</v>
      </c>
      <c r="D12" s="22" t="s">
        <v>58</v>
      </c>
      <c r="F12" s="24"/>
      <c r="G12" s="25"/>
      <c r="H12" s="25"/>
    </row>
    <row r="13" spans="3:15"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</row>
    <row r="14" spans="3:15">
      <c r="C14" s="23" t="s">
        <v>59</v>
      </c>
      <c r="D14" s="22" t="s">
        <v>60</v>
      </c>
      <c r="E14" s="22"/>
      <c r="F14" s="22"/>
    </row>
    <row r="15" spans="3:15">
      <c r="D15" s="22"/>
      <c r="E15" s="22"/>
      <c r="F15" s="22"/>
    </row>
    <row r="16" spans="3:15">
      <c r="C16" s="23" t="s">
        <v>61</v>
      </c>
      <c r="D16" s="22" t="s">
        <v>62</v>
      </c>
      <c r="E16" s="22"/>
      <c r="F16" s="22"/>
    </row>
    <row r="17" spans="2:17">
      <c r="C17" s="23"/>
      <c r="D17" s="22"/>
      <c r="E17" s="22"/>
      <c r="F17" s="22"/>
    </row>
    <row r="18" spans="2:17">
      <c r="C18" s="23" t="s">
        <v>63</v>
      </c>
      <c r="D18" s="22" t="s">
        <v>64</v>
      </c>
      <c r="E18" s="22"/>
      <c r="F18" s="22"/>
    </row>
    <row r="19" spans="2:17">
      <c r="C19" s="23" t="s">
        <v>65</v>
      </c>
      <c r="D19" s="22" t="s">
        <v>66</v>
      </c>
      <c r="E19" s="22"/>
      <c r="F19" s="22"/>
    </row>
    <row r="20" spans="2:17" ht="14.5" thickBot="1">
      <c r="C20" s="23"/>
      <c r="D20" s="22"/>
      <c r="E20" s="22"/>
      <c r="F20" s="22"/>
    </row>
    <row r="21" spans="2:17">
      <c r="C21" s="26"/>
      <c r="D21" s="22"/>
      <c r="E21" s="22"/>
      <c r="F21" s="22"/>
      <c r="G21" s="22"/>
    </row>
    <row r="22" spans="2:17" ht="16" thickBot="1">
      <c r="B22" s="27"/>
      <c r="C22" s="28" t="s">
        <v>67</v>
      </c>
      <c r="D22" s="29"/>
      <c r="E22" s="29"/>
      <c r="F22" s="29"/>
      <c r="G22" s="29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2:17" ht="16" thickBot="1">
      <c r="B23" s="30" t="s">
        <v>68</v>
      </c>
      <c r="C23" s="31" t="s">
        <v>69</v>
      </c>
      <c r="D23" s="32" t="s">
        <v>70</v>
      </c>
      <c r="E23" s="32" t="s">
        <v>71</v>
      </c>
      <c r="F23" s="32" t="s">
        <v>72</v>
      </c>
      <c r="G23" s="32" t="s">
        <v>73</v>
      </c>
      <c r="H23" s="33" t="s">
        <v>74</v>
      </c>
      <c r="I23" s="32" t="s">
        <v>75</v>
      </c>
      <c r="J23" s="32" t="s">
        <v>76</v>
      </c>
      <c r="K23" s="32" t="s">
        <v>77</v>
      </c>
      <c r="L23" s="32" t="s">
        <v>78</v>
      </c>
      <c r="M23" s="32" t="s">
        <v>79</v>
      </c>
      <c r="N23" s="32" t="s">
        <v>80</v>
      </c>
      <c r="O23" s="32" t="s">
        <v>81</v>
      </c>
      <c r="P23" s="32" t="s">
        <v>82</v>
      </c>
      <c r="Q23" s="34" t="s">
        <v>83</v>
      </c>
    </row>
    <row r="24" spans="2:17" ht="16" thickBot="1">
      <c r="B24" s="30" t="s">
        <v>84</v>
      </c>
      <c r="C24" s="35" t="s">
        <v>85</v>
      </c>
      <c r="D24" s="78" t="s">
        <v>86</v>
      </c>
      <c r="E24" s="78" t="s">
        <v>87</v>
      </c>
      <c r="F24" s="81" t="s">
        <v>87</v>
      </c>
      <c r="G24" s="75" t="s">
        <v>88</v>
      </c>
      <c r="H24" s="75" t="s">
        <v>89</v>
      </c>
      <c r="I24" s="36">
        <v>30.19</v>
      </c>
      <c r="J24" s="75">
        <v>4.5</v>
      </c>
      <c r="K24" s="81" t="s">
        <v>90</v>
      </c>
      <c r="L24" s="75" t="s">
        <v>91</v>
      </c>
      <c r="M24" s="75" t="s">
        <v>92</v>
      </c>
      <c r="N24" s="75" t="s">
        <v>93</v>
      </c>
      <c r="O24" s="75" t="s">
        <v>88</v>
      </c>
      <c r="P24" s="75" t="s">
        <v>88</v>
      </c>
      <c r="Q24" s="78" t="s">
        <v>94</v>
      </c>
    </row>
    <row r="25" spans="2:17" ht="16" thickBot="1">
      <c r="B25" s="31" t="s">
        <v>95</v>
      </c>
      <c r="C25" s="37" t="s">
        <v>96</v>
      </c>
      <c r="D25" s="79"/>
      <c r="E25" s="79"/>
      <c r="F25" s="82"/>
      <c r="G25" s="76"/>
      <c r="H25" s="76"/>
      <c r="I25" s="38">
        <v>29.82</v>
      </c>
      <c r="J25" s="76"/>
      <c r="K25" s="82"/>
      <c r="L25" s="76"/>
      <c r="M25" s="76"/>
      <c r="N25" s="76"/>
      <c r="O25" s="76"/>
      <c r="P25" s="76"/>
      <c r="Q25" s="79"/>
    </row>
    <row r="26" spans="2:17" ht="16" thickBot="1">
      <c r="B26" s="31" t="s">
        <v>97</v>
      </c>
      <c r="C26" s="37" t="s">
        <v>98</v>
      </c>
      <c r="D26" s="79"/>
      <c r="E26" s="79"/>
      <c r="F26" s="82"/>
      <c r="G26" s="76"/>
      <c r="H26" s="76"/>
      <c r="I26" s="39">
        <v>30.08</v>
      </c>
      <c r="J26" s="76"/>
      <c r="K26" s="82"/>
      <c r="L26" s="76"/>
      <c r="M26" s="76"/>
      <c r="N26" s="76"/>
      <c r="O26" s="76"/>
      <c r="P26" s="76"/>
      <c r="Q26" s="79"/>
    </row>
    <row r="27" spans="2:17" ht="16" thickBot="1">
      <c r="B27" s="31" t="s">
        <v>99</v>
      </c>
      <c r="C27" s="37" t="s">
        <v>100</v>
      </c>
      <c r="D27" s="79"/>
      <c r="E27" s="79"/>
      <c r="F27" s="82"/>
      <c r="G27" s="76"/>
      <c r="H27" s="76"/>
      <c r="I27" s="39">
        <v>30.25</v>
      </c>
      <c r="J27" s="76"/>
      <c r="K27" s="82"/>
      <c r="L27" s="76"/>
      <c r="M27" s="76"/>
      <c r="N27" s="76"/>
      <c r="O27" s="76"/>
      <c r="P27" s="76"/>
      <c r="Q27" s="79"/>
    </row>
    <row r="28" spans="2:17" ht="17.149999999999999" customHeight="1" thickBot="1">
      <c r="B28" s="31" t="s">
        <v>101</v>
      </c>
      <c r="C28" s="37" t="s">
        <v>102</v>
      </c>
      <c r="D28" s="79"/>
      <c r="E28" s="79"/>
      <c r="F28" s="82"/>
      <c r="G28" s="76"/>
      <c r="H28" s="76"/>
      <c r="I28" s="39">
        <v>29.85</v>
      </c>
      <c r="J28" s="76"/>
      <c r="K28" s="82"/>
      <c r="L28" s="76"/>
      <c r="M28" s="76"/>
      <c r="N28" s="76"/>
      <c r="O28" s="76"/>
      <c r="P28" s="76"/>
      <c r="Q28" s="79"/>
    </row>
    <row r="29" spans="2:17" ht="17.149999999999999" customHeight="1" thickBot="1">
      <c r="B29" s="31" t="s">
        <v>103</v>
      </c>
      <c r="C29" s="37" t="s">
        <v>104</v>
      </c>
      <c r="D29" s="79"/>
      <c r="E29" s="79"/>
      <c r="F29" s="82"/>
      <c r="G29" s="76"/>
      <c r="H29" s="76"/>
      <c r="I29" s="39">
        <v>29.98</v>
      </c>
      <c r="J29" s="76"/>
      <c r="K29" s="82"/>
      <c r="L29" s="76"/>
      <c r="M29" s="76"/>
      <c r="N29" s="76"/>
      <c r="O29" s="76"/>
      <c r="P29" s="76"/>
      <c r="Q29" s="79"/>
    </row>
    <row r="30" spans="2:17" ht="17.149999999999999" customHeight="1" thickBot="1">
      <c r="B30" s="31" t="s">
        <v>105</v>
      </c>
      <c r="C30" s="37" t="s">
        <v>106</v>
      </c>
      <c r="D30" s="79"/>
      <c r="E30" s="79"/>
      <c r="F30" s="82"/>
      <c r="G30" s="76"/>
      <c r="H30" s="76"/>
      <c r="I30" s="38">
        <v>30.01</v>
      </c>
      <c r="J30" s="76"/>
      <c r="K30" s="82"/>
      <c r="L30" s="76"/>
      <c r="M30" s="76"/>
      <c r="N30" s="76"/>
      <c r="O30" s="76"/>
      <c r="P30" s="76"/>
      <c r="Q30" s="79"/>
    </row>
    <row r="31" spans="2:17" ht="17.149999999999999" customHeight="1" thickBot="1">
      <c r="B31" s="31" t="s">
        <v>107</v>
      </c>
      <c r="C31" s="37" t="s">
        <v>108</v>
      </c>
      <c r="D31" s="79"/>
      <c r="E31" s="79"/>
      <c r="F31" s="82"/>
      <c r="G31" s="76"/>
      <c r="H31" s="76"/>
      <c r="I31" s="38">
        <v>29.99</v>
      </c>
      <c r="J31" s="76"/>
      <c r="K31" s="82"/>
      <c r="L31" s="76"/>
      <c r="M31" s="76"/>
      <c r="N31" s="76"/>
      <c r="O31" s="76"/>
      <c r="P31" s="76"/>
      <c r="Q31" s="79"/>
    </row>
    <row r="32" spans="2:17" ht="16" thickBot="1">
      <c r="B32" s="31" t="s">
        <v>109</v>
      </c>
      <c r="C32" s="37" t="s">
        <v>110</v>
      </c>
      <c r="D32" s="79"/>
      <c r="E32" s="79"/>
      <c r="F32" s="82"/>
      <c r="G32" s="76"/>
      <c r="H32" s="76"/>
      <c r="I32" s="38">
        <v>30.05</v>
      </c>
      <c r="J32" s="76"/>
      <c r="K32" s="82"/>
      <c r="L32" s="76"/>
      <c r="M32" s="76"/>
      <c r="N32" s="76"/>
      <c r="O32" s="76"/>
      <c r="P32" s="76"/>
      <c r="Q32" s="79"/>
    </row>
    <row r="33" spans="2:17" ht="16" thickBot="1">
      <c r="B33" s="31" t="s">
        <v>111</v>
      </c>
      <c r="C33" s="37" t="s">
        <v>112</v>
      </c>
      <c r="D33" s="79"/>
      <c r="E33" s="79"/>
      <c r="F33" s="82"/>
      <c r="G33" s="76"/>
      <c r="H33" s="76"/>
      <c r="I33" s="38">
        <v>30.06</v>
      </c>
      <c r="J33" s="76"/>
      <c r="K33" s="82"/>
      <c r="L33" s="76"/>
      <c r="M33" s="76"/>
      <c r="N33" s="76"/>
      <c r="O33" s="76"/>
      <c r="P33" s="76"/>
      <c r="Q33" s="79"/>
    </row>
    <row r="34" spans="2:17" ht="16" thickBot="1">
      <c r="B34" s="31" t="s">
        <v>113</v>
      </c>
      <c r="C34" s="37" t="s">
        <v>114</v>
      </c>
      <c r="D34" s="79"/>
      <c r="E34" s="79"/>
      <c r="F34" s="82"/>
      <c r="G34" s="76"/>
      <c r="H34" s="76"/>
      <c r="I34" s="38">
        <v>30.07</v>
      </c>
      <c r="J34" s="76"/>
      <c r="K34" s="82"/>
      <c r="L34" s="76"/>
      <c r="M34" s="76"/>
      <c r="N34" s="76"/>
      <c r="O34" s="76"/>
      <c r="P34" s="76"/>
      <c r="Q34" s="79"/>
    </row>
    <row r="35" spans="2:17" ht="16" thickBot="1">
      <c r="B35" s="31" t="s">
        <v>115</v>
      </c>
      <c r="C35" s="37" t="s">
        <v>116</v>
      </c>
      <c r="D35" s="79"/>
      <c r="E35" s="79"/>
      <c r="F35" s="82"/>
      <c r="G35" s="76"/>
      <c r="H35" s="76"/>
      <c r="I35" s="38">
        <v>30.23</v>
      </c>
      <c r="J35" s="76"/>
      <c r="K35" s="82"/>
      <c r="L35" s="76"/>
      <c r="M35" s="76"/>
      <c r="N35" s="76"/>
      <c r="O35" s="76"/>
      <c r="P35" s="76"/>
      <c r="Q35" s="79"/>
    </row>
    <row r="36" spans="2:17" ht="16" thickBot="1">
      <c r="B36" s="31" t="s">
        <v>117</v>
      </c>
      <c r="C36" s="37" t="s">
        <v>118</v>
      </c>
      <c r="D36" s="79"/>
      <c r="E36" s="79"/>
      <c r="F36" s="82"/>
      <c r="G36" s="76"/>
      <c r="H36" s="76"/>
      <c r="I36" s="39">
        <v>30.08</v>
      </c>
      <c r="J36" s="76"/>
      <c r="K36" s="82"/>
      <c r="L36" s="76"/>
      <c r="M36" s="76"/>
      <c r="N36" s="76"/>
      <c r="O36" s="76"/>
      <c r="P36" s="76"/>
      <c r="Q36" s="79"/>
    </row>
    <row r="37" spans="2:17" ht="16" thickBot="1">
      <c r="B37" s="31" t="s">
        <v>119</v>
      </c>
      <c r="C37" s="37" t="s">
        <v>120</v>
      </c>
      <c r="D37" s="79"/>
      <c r="E37" s="79"/>
      <c r="F37" s="82"/>
      <c r="G37" s="76"/>
      <c r="H37" s="76"/>
      <c r="I37" s="39">
        <v>30.23</v>
      </c>
      <c r="J37" s="76"/>
      <c r="K37" s="82"/>
      <c r="L37" s="76"/>
      <c r="M37" s="76"/>
      <c r="N37" s="76"/>
      <c r="O37" s="76"/>
      <c r="P37" s="76"/>
      <c r="Q37" s="79"/>
    </row>
    <row r="38" spans="2:17" ht="16" thickBot="1">
      <c r="B38" s="31" t="s">
        <v>121</v>
      </c>
      <c r="C38" s="37" t="s">
        <v>122</v>
      </c>
      <c r="D38" s="79"/>
      <c r="E38" s="79"/>
      <c r="F38" s="82"/>
      <c r="G38" s="76"/>
      <c r="H38" s="76"/>
      <c r="I38" s="39">
        <v>29.93</v>
      </c>
      <c r="J38" s="76"/>
      <c r="K38" s="82"/>
      <c r="L38" s="76"/>
      <c r="M38" s="76"/>
      <c r="N38" s="76"/>
      <c r="O38" s="76"/>
      <c r="P38" s="76"/>
      <c r="Q38" s="79"/>
    </row>
    <row r="39" spans="2:17" ht="16" thickBot="1">
      <c r="B39" s="31" t="s">
        <v>123</v>
      </c>
      <c r="C39" s="37" t="s">
        <v>124</v>
      </c>
      <c r="D39" s="79"/>
      <c r="E39" s="79"/>
      <c r="F39" s="82"/>
      <c r="G39" s="76"/>
      <c r="H39" s="76"/>
      <c r="I39" s="39">
        <v>29.78</v>
      </c>
      <c r="J39" s="76"/>
      <c r="K39" s="82"/>
      <c r="L39" s="76"/>
      <c r="M39" s="76"/>
      <c r="N39" s="76"/>
      <c r="O39" s="76"/>
      <c r="P39" s="76"/>
      <c r="Q39" s="79"/>
    </row>
    <row r="40" spans="2:17" ht="16" thickBot="1">
      <c r="B40" s="31" t="s">
        <v>125</v>
      </c>
      <c r="C40" s="37" t="s">
        <v>126</v>
      </c>
      <c r="D40" s="79"/>
      <c r="E40" s="79"/>
      <c r="F40" s="82"/>
      <c r="G40" s="76"/>
      <c r="H40" s="76"/>
      <c r="I40" s="39">
        <v>30.05</v>
      </c>
      <c r="J40" s="76"/>
      <c r="K40" s="82"/>
      <c r="L40" s="76"/>
      <c r="M40" s="76"/>
      <c r="N40" s="76"/>
      <c r="O40" s="76"/>
      <c r="P40" s="76"/>
      <c r="Q40" s="79"/>
    </row>
    <row r="41" spans="2:17" ht="16" thickBot="1">
      <c r="B41" s="31" t="s">
        <v>127</v>
      </c>
      <c r="C41" s="37" t="s">
        <v>128</v>
      </c>
      <c r="D41" s="79"/>
      <c r="E41" s="79"/>
      <c r="F41" s="82"/>
      <c r="G41" s="76"/>
      <c r="H41" s="76"/>
      <c r="I41" s="39">
        <v>30.15</v>
      </c>
      <c r="J41" s="76"/>
      <c r="K41" s="82"/>
      <c r="L41" s="76"/>
      <c r="M41" s="76"/>
      <c r="N41" s="76"/>
      <c r="O41" s="76"/>
      <c r="P41" s="76"/>
      <c r="Q41" s="79"/>
    </row>
    <row r="42" spans="2:17" ht="16" thickBot="1">
      <c r="B42" s="31" t="s">
        <v>129</v>
      </c>
      <c r="C42" s="37" t="s">
        <v>130</v>
      </c>
      <c r="D42" s="79"/>
      <c r="E42" s="79"/>
      <c r="F42" s="82"/>
      <c r="G42" s="76"/>
      <c r="H42" s="76"/>
      <c r="I42" s="39">
        <v>30.15</v>
      </c>
      <c r="J42" s="76"/>
      <c r="K42" s="82"/>
      <c r="L42" s="76"/>
      <c r="M42" s="76"/>
      <c r="N42" s="76"/>
      <c r="O42" s="76"/>
      <c r="P42" s="76"/>
      <c r="Q42" s="79"/>
    </row>
    <row r="43" spans="2:17" ht="16" thickBot="1">
      <c r="B43" s="31" t="s">
        <v>131</v>
      </c>
      <c r="C43" s="37" t="s">
        <v>132</v>
      </c>
      <c r="D43" s="79"/>
      <c r="E43" s="79"/>
      <c r="F43" s="82"/>
      <c r="G43" s="76"/>
      <c r="H43" s="76"/>
      <c r="I43" s="39">
        <v>30.1</v>
      </c>
      <c r="J43" s="76"/>
      <c r="K43" s="82"/>
      <c r="L43" s="76"/>
      <c r="M43" s="76"/>
      <c r="N43" s="76"/>
      <c r="O43" s="76"/>
      <c r="P43" s="76"/>
      <c r="Q43" s="79"/>
    </row>
    <row r="44" spans="2:17" ht="16" thickBot="1">
      <c r="B44" s="31" t="s">
        <v>133</v>
      </c>
      <c r="C44" s="37" t="s">
        <v>134</v>
      </c>
      <c r="D44" s="79"/>
      <c r="E44" s="79"/>
      <c r="F44" s="82"/>
      <c r="G44" s="76"/>
      <c r="H44" s="76"/>
      <c r="I44" s="39">
        <v>30.08</v>
      </c>
      <c r="J44" s="76"/>
      <c r="K44" s="82"/>
      <c r="L44" s="76"/>
      <c r="M44" s="76"/>
      <c r="N44" s="76"/>
      <c r="O44" s="76"/>
      <c r="P44" s="76"/>
      <c r="Q44" s="79"/>
    </row>
    <row r="45" spans="2:17" ht="16" thickBot="1">
      <c r="B45" s="31" t="s">
        <v>135</v>
      </c>
      <c r="C45" s="37" t="s">
        <v>136</v>
      </c>
      <c r="D45" s="79"/>
      <c r="E45" s="79"/>
      <c r="F45" s="82"/>
      <c r="G45" s="76"/>
      <c r="H45" s="76"/>
      <c r="I45" s="39">
        <v>30.05</v>
      </c>
      <c r="J45" s="76"/>
      <c r="K45" s="82"/>
      <c r="L45" s="76"/>
      <c r="M45" s="76"/>
      <c r="N45" s="76"/>
      <c r="O45" s="76"/>
      <c r="P45" s="76"/>
      <c r="Q45" s="79"/>
    </row>
    <row r="46" spans="2:17" ht="16" thickBot="1">
      <c r="B46" s="31" t="s">
        <v>137</v>
      </c>
      <c r="C46" s="37" t="s">
        <v>138</v>
      </c>
      <c r="D46" s="79"/>
      <c r="E46" s="79"/>
      <c r="F46" s="82"/>
      <c r="G46" s="76"/>
      <c r="H46" s="76"/>
      <c r="I46" s="39">
        <v>29.96</v>
      </c>
      <c r="J46" s="76"/>
      <c r="K46" s="82"/>
      <c r="L46" s="76"/>
      <c r="M46" s="76"/>
      <c r="N46" s="76"/>
      <c r="O46" s="76"/>
      <c r="P46" s="76"/>
      <c r="Q46" s="79"/>
    </row>
    <row r="47" spans="2:17" ht="16" thickBot="1">
      <c r="B47" s="40" t="s">
        <v>139</v>
      </c>
      <c r="C47" s="41" t="s">
        <v>140</v>
      </c>
      <c r="D47" s="80"/>
      <c r="E47" s="80"/>
      <c r="F47" s="83"/>
      <c r="G47" s="77"/>
      <c r="H47" s="77"/>
      <c r="I47" s="39">
        <v>30.13</v>
      </c>
      <c r="J47" s="77"/>
      <c r="K47" s="83"/>
      <c r="L47" s="77"/>
      <c r="M47" s="77"/>
      <c r="N47" s="77"/>
      <c r="O47" s="77"/>
      <c r="P47" s="77"/>
      <c r="Q47" s="80"/>
    </row>
    <row r="48" spans="2:17" ht="15.5">
      <c r="C48" s="31" t="s">
        <v>141</v>
      </c>
    </row>
    <row r="49" spans="2:20" ht="15.5">
      <c r="C49" s="31" t="s">
        <v>142</v>
      </c>
    </row>
    <row r="50" spans="2:20" ht="15.5">
      <c r="C50" s="31" t="s">
        <v>143</v>
      </c>
    </row>
    <row r="51" spans="2:20" ht="15.5">
      <c r="C51" s="31" t="s">
        <v>144</v>
      </c>
    </row>
    <row r="52" spans="2:20" ht="15.5">
      <c r="C52" s="31" t="s">
        <v>145</v>
      </c>
    </row>
    <row r="53" spans="2:20" ht="15.5">
      <c r="C53" s="31" t="s">
        <v>146</v>
      </c>
    </row>
    <row r="54" spans="2:20" ht="15.5">
      <c r="C54" s="31" t="s">
        <v>147</v>
      </c>
    </row>
    <row r="55" spans="2:20" ht="16" thickBot="1">
      <c r="C55" s="40" t="s">
        <v>148</v>
      </c>
    </row>
    <row r="56" spans="2:20" ht="16" thickBot="1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spans="2:20" ht="18">
      <c r="C57" s="43" t="s">
        <v>149</v>
      </c>
      <c r="D57" s="44" t="s">
        <v>150</v>
      </c>
    </row>
    <row r="58" spans="2:20">
      <c r="C58" s="45" t="s">
        <v>151</v>
      </c>
      <c r="D58" s="45"/>
    </row>
    <row r="59" spans="2:20">
      <c r="C59" s="45" t="s">
        <v>0</v>
      </c>
      <c r="D59" s="46" t="s">
        <v>40</v>
      </c>
    </row>
    <row r="60" spans="2:20">
      <c r="C60" s="45" t="s">
        <v>152</v>
      </c>
      <c r="D60" s="45"/>
    </row>
    <row r="61" spans="2:20">
      <c r="C61" s="45" t="s">
        <v>153</v>
      </c>
      <c r="D61" s="45"/>
    </row>
    <row r="62" spans="2:20">
      <c r="C62" s="47" t="s">
        <v>1</v>
      </c>
      <c r="D62" s="48">
        <v>184.1</v>
      </c>
    </row>
    <row r="63" spans="2:20" ht="14.5" thickBot="1">
      <c r="C63" s="49" t="s">
        <v>68</v>
      </c>
      <c r="D63" s="49"/>
    </row>
    <row r="64" spans="2:20">
      <c r="C64" s="50" t="s">
        <v>84</v>
      </c>
      <c r="D64" s="51"/>
    </row>
    <row r="65" spans="3:4">
      <c r="C65" s="45" t="s">
        <v>95</v>
      </c>
      <c r="D65" s="52"/>
    </row>
    <row r="66" spans="3:4">
      <c r="C66" s="45" t="s">
        <v>97</v>
      </c>
      <c r="D66" s="52"/>
    </row>
    <row r="67" spans="3:4">
      <c r="C67" s="45" t="s">
        <v>99</v>
      </c>
      <c r="D67" s="52"/>
    </row>
    <row r="68" spans="3:4">
      <c r="C68" s="45" t="s">
        <v>101</v>
      </c>
      <c r="D68" s="52"/>
    </row>
    <row r="69" spans="3:4">
      <c r="C69" s="45" t="s">
        <v>103</v>
      </c>
      <c r="D69" s="52"/>
    </row>
    <row r="70" spans="3:4">
      <c r="C70" s="45" t="s">
        <v>105</v>
      </c>
      <c r="D70" s="52"/>
    </row>
    <row r="71" spans="3:4">
      <c r="C71" s="45" t="s">
        <v>107</v>
      </c>
      <c r="D71" s="52"/>
    </row>
    <row r="72" spans="3:4">
      <c r="C72" s="45" t="s">
        <v>109</v>
      </c>
      <c r="D72" s="52"/>
    </row>
    <row r="73" spans="3:4">
      <c r="C73" s="45" t="s">
        <v>111</v>
      </c>
      <c r="D73" s="52"/>
    </row>
    <row r="74" spans="3:4">
      <c r="C74" s="45" t="s">
        <v>113</v>
      </c>
      <c r="D74" s="52"/>
    </row>
    <row r="75" spans="3:4">
      <c r="C75" s="45" t="s">
        <v>115</v>
      </c>
      <c r="D75" s="52"/>
    </row>
    <row r="76" spans="3:4">
      <c r="C76" s="45" t="s">
        <v>117</v>
      </c>
      <c r="D76" s="52"/>
    </row>
    <row r="77" spans="3:4">
      <c r="C77" s="45" t="s">
        <v>119</v>
      </c>
      <c r="D77" s="52"/>
    </row>
    <row r="78" spans="3:4">
      <c r="C78" s="45" t="s">
        <v>121</v>
      </c>
      <c r="D78" s="52"/>
    </row>
    <row r="79" spans="3:4">
      <c r="C79" s="45" t="s">
        <v>123</v>
      </c>
      <c r="D79" s="52"/>
    </row>
    <row r="80" spans="3:4">
      <c r="C80" s="45" t="s">
        <v>125</v>
      </c>
      <c r="D80" s="52"/>
    </row>
    <row r="81" spans="3:4">
      <c r="C81" s="45" t="s">
        <v>127</v>
      </c>
      <c r="D81" s="52"/>
    </row>
    <row r="82" spans="3:4">
      <c r="C82" s="45" t="s">
        <v>129</v>
      </c>
      <c r="D82" s="52"/>
    </row>
    <row r="83" spans="3:4">
      <c r="C83" s="45" t="s">
        <v>131</v>
      </c>
      <c r="D83" s="52"/>
    </row>
    <row r="84" spans="3:4">
      <c r="C84" s="45" t="s">
        <v>133</v>
      </c>
      <c r="D84" s="52"/>
    </row>
    <row r="85" spans="3:4">
      <c r="C85" s="45" t="s">
        <v>135</v>
      </c>
      <c r="D85" s="52"/>
    </row>
    <row r="86" spans="3:4">
      <c r="C86" s="45" t="s">
        <v>137</v>
      </c>
      <c r="D86" s="52"/>
    </row>
    <row r="87" spans="3:4" ht="14.5" thickBot="1">
      <c r="C87" s="49" t="s">
        <v>139</v>
      </c>
      <c r="D87" s="53"/>
    </row>
  </sheetData>
  <mergeCells count="13">
    <mergeCell ref="Q24:Q47"/>
    <mergeCell ref="K24:K47"/>
    <mergeCell ref="L24:L47"/>
    <mergeCell ref="M24:M47"/>
    <mergeCell ref="N24:N47"/>
    <mergeCell ref="O24:O47"/>
    <mergeCell ref="P24:P47"/>
    <mergeCell ref="J24:J47"/>
    <mergeCell ref="D24:D47"/>
    <mergeCell ref="E24:E47"/>
    <mergeCell ref="F24:F47"/>
    <mergeCell ref="G24:G47"/>
    <mergeCell ref="H24:H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E7FD-624D-44AB-B844-DE8C7C1F4675}">
  <dimension ref="A1:L74"/>
  <sheetViews>
    <sheetView tabSelected="1" topLeftCell="A46" zoomScale="120" zoomScaleNormal="120" workbookViewId="0">
      <selection activeCell="H73" sqref="H73"/>
    </sheetView>
  </sheetViews>
  <sheetFormatPr defaultRowHeight="14"/>
  <cols>
    <col min="2" max="2" width="35.58203125" bestFit="1" customWidth="1"/>
    <col min="3" max="3" width="31.4140625" bestFit="1" customWidth="1"/>
    <col min="4" max="4" width="18" bestFit="1" customWidth="1"/>
    <col min="7" max="7" width="10.25" bestFit="1" customWidth="1"/>
    <col min="8" max="8" width="14.25" bestFit="1" customWidth="1"/>
  </cols>
  <sheetData>
    <row r="1" spans="2:8" ht="14.5" thickBot="1"/>
    <row r="2" spans="2:8">
      <c r="B2" s="2"/>
      <c r="C2" s="54"/>
      <c r="D2" s="3" t="s">
        <v>42</v>
      </c>
      <c r="E2" s="1"/>
    </row>
    <row r="3" spans="2:8">
      <c r="B3" s="6" t="s">
        <v>0</v>
      </c>
      <c r="C3" s="55"/>
      <c r="D3" s="7" t="s">
        <v>40</v>
      </c>
      <c r="E3" s="1"/>
    </row>
    <row r="4" spans="2:8" ht="14.5" thickBot="1">
      <c r="B4" s="6" t="s">
        <v>1</v>
      </c>
      <c r="C4" s="55"/>
      <c r="D4" s="7">
        <v>184.001</v>
      </c>
      <c r="E4" s="1"/>
    </row>
    <row r="5" spans="2:8">
      <c r="B5" s="6" t="s">
        <v>2</v>
      </c>
      <c r="C5" s="55"/>
      <c r="D5" s="7">
        <v>4.17</v>
      </c>
      <c r="E5" s="1"/>
      <c r="G5" s="2"/>
      <c r="H5" s="3" t="s">
        <v>42</v>
      </c>
    </row>
    <row r="6" spans="2:8" ht="14.5" thickBot="1">
      <c r="B6" s="4" t="s">
        <v>41</v>
      </c>
      <c r="C6" s="56" t="s">
        <v>154</v>
      </c>
      <c r="D6" s="5" t="s">
        <v>39</v>
      </c>
      <c r="E6" s="1"/>
      <c r="G6" s="4" t="s">
        <v>43</v>
      </c>
      <c r="H6" s="5" t="s">
        <v>39</v>
      </c>
    </row>
    <row r="7" spans="2:8">
      <c r="B7" s="2" t="s">
        <v>3</v>
      </c>
      <c r="C7" s="54"/>
      <c r="D7" s="8"/>
      <c r="E7" s="1"/>
      <c r="G7" s="2">
        <f t="shared" ref="G7:G12" si="0">G8/2</f>
        <v>1.5625</v>
      </c>
      <c r="H7" s="64">
        <v>15324.3731790865</v>
      </c>
    </row>
    <row r="8" spans="2:8">
      <c r="B8" s="6" t="s">
        <v>4</v>
      </c>
      <c r="C8" s="55"/>
      <c r="D8" s="9">
        <v>15324.3731790865</v>
      </c>
      <c r="E8" s="1"/>
      <c r="G8" s="6">
        <f t="shared" si="0"/>
        <v>3.125</v>
      </c>
      <c r="H8" s="65">
        <v>18566.218203725901</v>
      </c>
    </row>
    <row r="9" spans="2:8">
      <c r="B9" s="6" t="s">
        <v>5</v>
      </c>
      <c r="C9" s="55"/>
      <c r="D9" s="9">
        <v>18566.218203725901</v>
      </c>
      <c r="E9" s="1"/>
      <c r="G9" s="6">
        <f t="shared" si="0"/>
        <v>6.25</v>
      </c>
      <c r="H9" s="65">
        <v>59518.160125000002</v>
      </c>
    </row>
    <row r="10" spans="2:8">
      <c r="B10" s="6" t="s">
        <v>6</v>
      </c>
      <c r="C10" s="55"/>
      <c r="D10" s="9">
        <v>59518.160125000002</v>
      </c>
      <c r="E10" s="1"/>
      <c r="G10" s="6">
        <f t="shared" si="0"/>
        <v>12.5</v>
      </c>
      <c r="H10" s="65">
        <v>115694.91601802901</v>
      </c>
    </row>
    <row r="11" spans="2:8">
      <c r="B11" s="6" t="s">
        <v>7</v>
      </c>
      <c r="C11" s="55"/>
      <c r="D11" s="9">
        <v>115694.91601802901</v>
      </c>
      <c r="E11" s="1"/>
      <c r="G11" s="6">
        <f t="shared" si="0"/>
        <v>25</v>
      </c>
      <c r="H11" s="65">
        <v>214706.553733173</v>
      </c>
    </row>
    <row r="12" spans="2:8">
      <c r="B12" s="6" t="s">
        <v>8</v>
      </c>
      <c r="C12" s="55"/>
      <c r="D12" s="9">
        <v>214706.553733173</v>
      </c>
      <c r="E12" s="1"/>
      <c r="G12" s="6">
        <f t="shared" si="0"/>
        <v>50</v>
      </c>
      <c r="H12" s="65">
        <v>454181.336115985</v>
      </c>
    </row>
    <row r="13" spans="2:8">
      <c r="B13" s="6" t="s">
        <v>9</v>
      </c>
      <c r="C13" s="55"/>
      <c r="D13" s="9">
        <v>454181.336115985</v>
      </c>
      <c r="E13" s="1"/>
      <c r="G13" s="6">
        <f>G14/2</f>
        <v>100</v>
      </c>
      <c r="H13" s="65">
        <v>3819291.6011929102</v>
      </c>
    </row>
    <row r="14" spans="2:8" ht="14.5" thickBot="1">
      <c r="B14" s="6" t="s">
        <v>10</v>
      </c>
      <c r="C14" s="55"/>
      <c r="D14" s="9">
        <v>3819291.6011929102</v>
      </c>
      <c r="E14" s="1"/>
      <c r="G14" s="4">
        <v>200</v>
      </c>
      <c r="H14" s="66">
        <v>14441363.0012109</v>
      </c>
    </row>
    <row r="15" spans="2:8">
      <c r="B15" s="6" t="s">
        <v>11</v>
      </c>
      <c r="C15" s="55"/>
      <c r="D15" s="9">
        <v>14441363.0012109</v>
      </c>
      <c r="E15" s="1"/>
      <c r="G15" s="2" t="s">
        <v>44</v>
      </c>
      <c r="H15" s="3">
        <v>8995.2569000000003</v>
      </c>
    </row>
    <row r="16" spans="2:8" ht="17" thickBot="1">
      <c r="B16" s="6" t="s">
        <v>12</v>
      </c>
      <c r="C16" s="55"/>
      <c r="D16" s="9"/>
      <c r="E16" s="1"/>
      <c r="G16" s="4" t="s">
        <v>45</v>
      </c>
      <c r="H16" s="5">
        <v>0.99909999999999999</v>
      </c>
    </row>
    <row r="17" spans="2:5">
      <c r="B17" s="6" t="s">
        <v>13</v>
      </c>
      <c r="C17" s="55"/>
      <c r="D17" s="9"/>
      <c r="E17" s="1"/>
    </row>
    <row r="18" spans="2:5">
      <c r="B18" s="6" t="s">
        <v>14</v>
      </c>
      <c r="C18" s="55" t="s">
        <v>85</v>
      </c>
      <c r="D18" s="9">
        <v>222704.776083643</v>
      </c>
      <c r="E18" s="1"/>
    </row>
    <row r="19" spans="2:5">
      <c r="B19" s="6" t="s">
        <v>15</v>
      </c>
      <c r="C19" s="55" t="s">
        <v>96</v>
      </c>
      <c r="D19" s="9">
        <v>220287.798125</v>
      </c>
      <c r="E19" s="1"/>
    </row>
    <row r="20" spans="2:5">
      <c r="B20" s="6" t="s">
        <v>16</v>
      </c>
      <c r="C20" s="55" t="s">
        <v>98</v>
      </c>
      <c r="D20" s="9">
        <v>237984.61640925499</v>
      </c>
      <c r="E20" s="1"/>
    </row>
    <row r="21" spans="2:5">
      <c r="B21" s="6" t="s">
        <v>17</v>
      </c>
      <c r="C21" s="55" t="s">
        <v>100</v>
      </c>
      <c r="D21" s="9">
        <v>216053.531161058</v>
      </c>
      <c r="E21" s="1"/>
    </row>
    <row r="22" spans="2:5">
      <c r="B22" s="6" t="s">
        <v>18</v>
      </c>
      <c r="C22" s="55" t="s">
        <v>102</v>
      </c>
      <c r="D22" s="9">
        <v>201934.96732512</v>
      </c>
      <c r="E22" s="1"/>
    </row>
    <row r="23" spans="2:5">
      <c r="B23" s="6" t="s">
        <v>19</v>
      </c>
      <c r="C23" s="55" t="s">
        <v>104</v>
      </c>
      <c r="D23" s="9">
        <v>196519.01235456701</v>
      </c>
      <c r="E23" s="1"/>
    </row>
    <row r="24" spans="2:5">
      <c r="B24" s="6" t="s">
        <v>20</v>
      </c>
      <c r="C24" s="55" t="s">
        <v>106</v>
      </c>
      <c r="D24" s="9">
        <v>340337.76278305298</v>
      </c>
      <c r="E24" s="1"/>
    </row>
    <row r="25" spans="2:5">
      <c r="B25" s="6" t="s">
        <v>21</v>
      </c>
      <c r="C25" s="55" t="s">
        <v>108</v>
      </c>
      <c r="D25" s="9">
        <v>233960.12962980801</v>
      </c>
      <c r="E25" s="1"/>
    </row>
    <row r="26" spans="2:5">
      <c r="B26" s="6" t="s">
        <v>22</v>
      </c>
      <c r="C26" s="55" t="s">
        <v>110</v>
      </c>
      <c r="D26" s="9">
        <v>310074.05796093802</v>
      </c>
      <c r="E26" s="1"/>
    </row>
    <row r="27" spans="2:5">
      <c r="B27" s="6" t="s">
        <v>23</v>
      </c>
      <c r="C27" s="55" t="s">
        <v>112</v>
      </c>
      <c r="D27" s="9">
        <v>257054.06303846199</v>
      </c>
      <c r="E27" s="1"/>
    </row>
    <row r="28" spans="2:5">
      <c r="B28" s="6" t="s">
        <v>24</v>
      </c>
      <c r="C28" s="55" t="s">
        <v>114</v>
      </c>
      <c r="D28" s="9">
        <v>113122.07256250001</v>
      </c>
      <c r="E28" s="1"/>
    </row>
    <row r="29" spans="2:5">
      <c r="B29" s="6" t="s">
        <v>25</v>
      </c>
      <c r="C29" s="55" t="s">
        <v>116</v>
      </c>
      <c r="D29" s="9">
        <v>266611.40995312401</v>
      </c>
      <c r="E29" s="1"/>
    </row>
    <row r="30" spans="2:5">
      <c r="B30" s="6" t="s">
        <v>26</v>
      </c>
      <c r="C30" s="55" t="s">
        <v>118</v>
      </c>
      <c r="D30" s="9">
        <v>267354.12188402598</v>
      </c>
      <c r="E30" s="1"/>
    </row>
    <row r="31" spans="2:5">
      <c r="B31" s="6" t="s">
        <v>27</v>
      </c>
      <c r="C31" s="55" t="s">
        <v>120</v>
      </c>
      <c r="D31" s="9">
        <v>214867.93335937499</v>
      </c>
      <c r="E31" s="1"/>
    </row>
    <row r="32" spans="2:5">
      <c r="B32" s="6" t="s">
        <v>28</v>
      </c>
      <c r="C32" s="55" t="s">
        <v>122</v>
      </c>
      <c r="D32" s="9">
        <v>220900.558890783</v>
      </c>
      <c r="E32" s="1"/>
    </row>
    <row r="33" spans="2:5">
      <c r="B33" s="6" t="s">
        <v>29</v>
      </c>
      <c r="C33" s="55" t="s">
        <v>124</v>
      </c>
      <c r="D33" s="9">
        <v>240914.595540865</v>
      </c>
      <c r="E33" s="1"/>
    </row>
    <row r="34" spans="2:5">
      <c r="B34" s="6" t="s">
        <v>30</v>
      </c>
      <c r="C34" s="55" t="s">
        <v>126</v>
      </c>
      <c r="D34" s="9">
        <v>251994.845397236</v>
      </c>
      <c r="E34" s="1"/>
    </row>
    <row r="35" spans="2:5">
      <c r="B35" s="6" t="s">
        <v>31</v>
      </c>
      <c r="C35" s="55" t="s">
        <v>128</v>
      </c>
      <c r="D35" s="9">
        <v>287873.31226201903</v>
      </c>
      <c r="E35" s="1"/>
    </row>
    <row r="36" spans="2:5">
      <c r="B36" s="6" t="s">
        <v>32</v>
      </c>
      <c r="C36" s="55" t="s">
        <v>130</v>
      </c>
      <c r="D36" s="9">
        <v>204104.4535</v>
      </c>
      <c r="E36" s="1"/>
    </row>
    <row r="37" spans="2:5">
      <c r="B37" s="6" t="s">
        <v>33</v>
      </c>
      <c r="C37" s="55" t="s">
        <v>132</v>
      </c>
      <c r="D37" s="9">
        <v>150699.12957692301</v>
      </c>
      <c r="E37" s="1"/>
    </row>
    <row r="38" spans="2:5">
      <c r="B38" s="6" t="s">
        <v>34</v>
      </c>
      <c r="C38" s="55" t="s">
        <v>134</v>
      </c>
      <c r="D38" s="9">
        <v>199413.99881069799</v>
      </c>
      <c r="E38" s="1"/>
    </row>
    <row r="39" spans="2:5">
      <c r="B39" s="6" t="s">
        <v>35</v>
      </c>
      <c r="C39" s="55" t="s">
        <v>136</v>
      </c>
      <c r="D39" s="9">
        <v>223354.56676863</v>
      </c>
      <c r="E39" s="1"/>
    </row>
    <row r="40" spans="2:5">
      <c r="B40" s="6" t="s">
        <v>36</v>
      </c>
      <c r="C40" s="55" t="s">
        <v>138</v>
      </c>
      <c r="D40" s="9">
        <v>238191.875</v>
      </c>
      <c r="E40" s="1"/>
    </row>
    <row r="41" spans="2:5">
      <c r="B41" s="6" t="s">
        <v>37</v>
      </c>
      <c r="C41" s="55" t="s">
        <v>140</v>
      </c>
      <c r="D41" s="9">
        <v>221891.18443269201</v>
      </c>
      <c r="E41" s="1"/>
    </row>
    <row r="42" spans="2:5" ht="14.5" thickBot="1">
      <c r="B42" s="4" t="s">
        <v>38</v>
      </c>
      <c r="C42" s="56"/>
      <c r="D42" s="5"/>
      <c r="E42" s="1"/>
    </row>
    <row r="43" spans="2:5">
      <c r="B43" s="1" t="s">
        <v>46</v>
      </c>
      <c r="C43" s="1"/>
      <c r="D43" s="1"/>
      <c r="E43" s="1"/>
    </row>
    <row r="44" spans="2:5" ht="14.5" thickBot="1">
      <c r="B44" s="1"/>
      <c r="C44" s="1"/>
      <c r="D44" s="1"/>
      <c r="E44" s="1"/>
    </row>
    <row r="45" spans="2:5">
      <c r="B45" s="2"/>
      <c r="C45" s="54"/>
      <c r="D45" s="3" t="s">
        <v>47</v>
      </c>
      <c r="E45" s="1"/>
    </row>
    <row r="46" spans="2:5">
      <c r="B46" s="6" t="s">
        <v>0</v>
      </c>
      <c r="C46" s="55"/>
      <c r="D46" s="7" t="s">
        <v>40</v>
      </c>
    </row>
    <row r="47" spans="2:5">
      <c r="B47" s="6" t="s">
        <v>1</v>
      </c>
      <c r="C47" s="55"/>
      <c r="D47" s="7">
        <v>184.001</v>
      </c>
    </row>
    <row r="48" spans="2:5" ht="14.5" thickBot="1">
      <c r="B48" s="6" t="s">
        <v>2</v>
      </c>
      <c r="C48" s="55"/>
      <c r="D48" s="7">
        <v>4.17</v>
      </c>
    </row>
    <row r="49" spans="1:12" ht="14.5" thickBot="1">
      <c r="B49" s="4" t="s">
        <v>41</v>
      </c>
      <c r="C49" s="56"/>
      <c r="D49" s="5" t="s">
        <v>39</v>
      </c>
      <c r="E49" s="69" t="s">
        <v>156</v>
      </c>
      <c r="F49" s="70" t="s">
        <v>157</v>
      </c>
      <c r="G49" s="71" t="s">
        <v>158</v>
      </c>
      <c r="H49" s="71" t="s">
        <v>158</v>
      </c>
      <c r="I49" s="72" t="s">
        <v>159</v>
      </c>
      <c r="J49" s="84" t="s">
        <v>160</v>
      </c>
      <c r="K49" s="85"/>
      <c r="L49" s="86"/>
    </row>
    <row r="50" spans="1:12" ht="16" thickBot="1">
      <c r="A50" s="36">
        <v>30.19</v>
      </c>
      <c r="B50" s="57" t="s">
        <v>14</v>
      </c>
      <c r="C50" s="58" t="s">
        <v>85</v>
      </c>
      <c r="D50" s="59">
        <f t="shared" ref="D50:D73" si="1">D18/H$15*100</f>
        <v>2475.802287354828</v>
      </c>
      <c r="E50" s="68">
        <f>D50/(1000/4.5)</f>
        <v>11.141110293096725</v>
      </c>
      <c r="F50" s="68">
        <f>E50*184</f>
        <v>2049.9642939297973</v>
      </c>
      <c r="G50" s="68">
        <f>((F50)*(1000/A50))/1000</f>
        <v>67.9020965197018</v>
      </c>
    </row>
    <row r="51" spans="1:12" ht="16" thickBot="1">
      <c r="A51" s="42">
        <v>29.82</v>
      </c>
      <c r="B51" s="57" t="s">
        <v>15</v>
      </c>
      <c r="C51" s="58" t="s">
        <v>96</v>
      </c>
      <c r="D51" s="59">
        <f t="shared" si="1"/>
        <v>2448.9328161933872</v>
      </c>
      <c r="E51" s="68">
        <f t="shared" ref="E51:E73" si="2">D51/(1000/4.5)</f>
        <v>11.020197672870243</v>
      </c>
      <c r="F51" s="68">
        <f t="shared" ref="F51:F73" si="3">E51*184</f>
        <v>2027.7163718081247</v>
      </c>
      <c r="G51" s="68">
        <f t="shared" ref="G51:G73" si="4">((F51)*(1000/A51))/1000</f>
        <v>67.99853694862928</v>
      </c>
    </row>
    <row r="52" spans="1:12" ht="16" thickBot="1">
      <c r="A52" s="39">
        <v>30.08</v>
      </c>
      <c r="B52" s="57" t="s">
        <v>16</v>
      </c>
      <c r="C52" s="58" t="s">
        <v>98</v>
      </c>
      <c r="D52" s="59">
        <f t="shared" si="1"/>
        <v>2645.6678119916173</v>
      </c>
      <c r="E52" s="68">
        <f t="shared" si="2"/>
        <v>11.905505153962277</v>
      </c>
      <c r="F52" s="68">
        <f t="shared" si="3"/>
        <v>2190.6129483290592</v>
      </c>
      <c r="G52" s="68">
        <f t="shared" si="4"/>
        <v>72.826228335407563</v>
      </c>
    </row>
    <row r="53" spans="1:12" ht="16" thickBot="1">
      <c r="A53" s="39">
        <v>30.25</v>
      </c>
      <c r="B53" s="57" t="s">
        <v>17</v>
      </c>
      <c r="C53" s="58" t="s">
        <v>100</v>
      </c>
      <c r="D53" s="59">
        <f t="shared" si="1"/>
        <v>2401.8605979008557</v>
      </c>
      <c r="E53" s="68">
        <f t="shared" si="2"/>
        <v>10.808372690553851</v>
      </c>
      <c r="F53" s="68">
        <f t="shared" si="3"/>
        <v>1988.7405750619087</v>
      </c>
      <c r="G53" s="68">
        <f t="shared" si="4"/>
        <v>65.743490084691189</v>
      </c>
    </row>
    <row r="54" spans="1:12" ht="16" thickBot="1">
      <c r="A54" s="39">
        <v>29.85</v>
      </c>
      <c r="B54" s="57" t="s">
        <v>18</v>
      </c>
      <c r="C54" s="58" t="s">
        <v>102</v>
      </c>
      <c r="D54" s="59">
        <f t="shared" si="1"/>
        <v>2244.9049490195216</v>
      </c>
      <c r="E54" s="68">
        <f t="shared" si="2"/>
        <v>10.102072270587847</v>
      </c>
      <c r="F54" s="68">
        <f t="shared" si="3"/>
        <v>1858.7812977881638</v>
      </c>
      <c r="G54" s="68">
        <f t="shared" si="4"/>
        <v>62.27073024415958</v>
      </c>
    </row>
    <row r="55" spans="1:12" ht="16" thickBot="1">
      <c r="A55" s="39">
        <v>29.98</v>
      </c>
      <c r="B55" s="57" t="s">
        <v>19</v>
      </c>
      <c r="C55" s="58" t="s">
        <v>104</v>
      </c>
      <c r="D55" s="59">
        <f t="shared" si="1"/>
        <v>2184.6959407525869</v>
      </c>
      <c r="E55" s="68">
        <f t="shared" si="2"/>
        <v>9.8311317333866413</v>
      </c>
      <c r="F55" s="68">
        <f t="shared" si="3"/>
        <v>1808.9282389431419</v>
      </c>
      <c r="G55" s="68">
        <f t="shared" si="4"/>
        <v>60.337833186895992</v>
      </c>
      <c r="H55" s="68">
        <f>AVERAGE(G50:G55)</f>
        <v>66.179819219914236</v>
      </c>
      <c r="I55" s="68">
        <f>STDEV(G50:G55)</f>
        <v>4.4732289892025436</v>
      </c>
      <c r="J55" s="67">
        <f>_xlfn.T.TEST(G50:G55,G56:G61,2,2)</f>
        <v>0.28041797157395276</v>
      </c>
      <c r="K55" s="73">
        <f>_xlfn.T.TEST(G50:G55,G62:G67,2,2)</f>
        <v>3.3360647225293784E-2</v>
      </c>
      <c r="L55" s="67">
        <f>_xlfn.T.TEST(G50:G55,G68:G73,2,2)</f>
        <v>0.49186089337099947</v>
      </c>
    </row>
    <row r="56" spans="1:12" ht="16" thickBot="1">
      <c r="A56" s="42">
        <v>30.01</v>
      </c>
      <c r="B56" s="57" t="s">
        <v>20</v>
      </c>
      <c r="C56" s="58" t="s">
        <v>106</v>
      </c>
      <c r="D56" s="59">
        <f t="shared" si="1"/>
        <v>3783.5246571229441</v>
      </c>
      <c r="E56" s="68">
        <f t="shared" si="2"/>
        <v>17.025860957053247</v>
      </c>
      <c r="F56" s="68">
        <f t="shared" si="3"/>
        <v>3132.7584160977976</v>
      </c>
      <c r="G56" s="68">
        <f t="shared" si="4"/>
        <v>104.39048370869034</v>
      </c>
      <c r="J56" s="67"/>
      <c r="K56" s="67"/>
      <c r="L56" s="67"/>
    </row>
    <row r="57" spans="1:12" ht="16" thickBot="1">
      <c r="A57" s="42">
        <v>29.99</v>
      </c>
      <c r="B57" s="57" t="s">
        <v>21</v>
      </c>
      <c r="C57" s="58" t="s">
        <v>108</v>
      </c>
      <c r="D57" s="59">
        <f t="shared" si="1"/>
        <v>2600.9277136910678</v>
      </c>
      <c r="E57" s="68">
        <f t="shared" si="2"/>
        <v>11.704174711609804</v>
      </c>
      <c r="F57" s="68">
        <f t="shared" si="3"/>
        <v>2153.5681469362039</v>
      </c>
      <c r="G57" s="68">
        <f t="shared" si="4"/>
        <v>71.809541411677344</v>
      </c>
      <c r="J57" s="67"/>
      <c r="K57" s="67"/>
      <c r="L57" s="67"/>
    </row>
    <row r="58" spans="1:12" ht="16" thickBot="1">
      <c r="A58" s="42">
        <v>30.05</v>
      </c>
      <c r="B58" s="57" t="s">
        <v>22</v>
      </c>
      <c r="C58" s="58" t="s">
        <v>110</v>
      </c>
      <c r="D58" s="59">
        <f t="shared" si="1"/>
        <v>3447.0839622261151</v>
      </c>
      <c r="E58" s="68">
        <f t="shared" si="2"/>
        <v>15.511877830017518</v>
      </c>
      <c r="F58" s="68">
        <f t="shared" si="3"/>
        <v>2854.1855207232234</v>
      </c>
      <c r="G58" s="68">
        <f t="shared" si="4"/>
        <v>94.981215331887626</v>
      </c>
      <c r="J58" s="67"/>
      <c r="K58" s="67"/>
      <c r="L58" s="67"/>
    </row>
    <row r="59" spans="1:12" ht="16" thickBot="1">
      <c r="A59" s="42">
        <v>30.06</v>
      </c>
      <c r="B59" s="57" t="s">
        <v>23</v>
      </c>
      <c r="C59" s="58" t="s">
        <v>112</v>
      </c>
      <c r="D59" s="59">
        <f t="shared" si="1"/>
        <v>2857.6622757540363</v>
      </c>
      <c r="E59" s="68">
        <f t="shared" si="2"/>
        <v>12.859480240893163</v>
      </c>
      <c r="F59" s="68">
        <f t="shared" si="3"/>
        <v>2366.144364324342</v>
      </c>
      <c r="G59" s="68">
        <f t="shared" si="4"/>
        <v>78.714050709392609</v>
      </c>
      <c r="J59" s="67"/>
      <c r="K59" s="67"/>
      <c r="L59" s="67"/>
    </row>
    <row r="60" spans="1:12" ht="16" thickBot="1">
      <c r="A60" s="42">
        <v>30.07</v>
      </c>
      <c r="B60" s="57" t="s">
        <v>24</v>
      </c>
      <c r="C60" s="58" t="s">
        <v>114</v>
      </c>
      <c r="D60" s="59">
        <f t="shared" si="1"/>
        <v>1257.5746731869324</v>
      </c>
      <c r="E60" s="68">
        <f t="shared" si="2"/>
        <v>5.6590860293411955</v>
      </c>
      <c r="F60" s="68">
        <f t="shared" si="3"/>
        <v>1041.27182939878</v>
      </c>
      <c r="G60" s="68">
        <f t="shared" si="4"/>
        <v>34.628261702653141</v>
      </c>
      <c r="J60" s="67"/>
      <c r="K60" s="67"/>
      <c r="L60" s="67"/>
    </row>
    <row r="61" spans="1:12" ht="16" thickBot="1">
      <c r="A61" s="42">
        <v>30.23</v>
      </c>
      <c r="B61" s="57" t="s">
        <v>25</v>
      </c>
      <c r="C61" s="58" t="s">
        <v>116</v>
      </c>
      <c r="D61" s="59">
        <f t="shared" si="1"/>
        <v>2963.9110135156229</v>
      </c>
      <c r="E61" s="68">
        <f t="shared" si="2"/>
        <v>13.337599560820303</v>
      </c>
      <c r="F61" s="68">
        <f t="shared" si="3"/>
        <v>2454.1183191909358</v>
      </c>
      <c r="G61" s="68">
        <f t="shared" si="4"/>
        <v>81.181552073798741</v>
      </c>
      <c r="H61" s="68">
        <f>AVERAGE(G56:G61)</f>
        <v>77.617517489683308</v>
      </c>
      <c r="I61" s="68">
        <f>STDEV(G56:G61)</f>
        <v>24.141264050515435</v>
      </c>
      <c r="J61" s="67">
        <f>_xlfn.T.TEST(G56:G61,G50:G55,2,2)</f>
        <v>0.28041797157395276</v>
      </c>
      <c r="K61" s="67">
        <f>_xlfn.T.TEST(G56:G61,G62:G67,2,2)</f>
        <v>0.86429485970689235</v>
      </c>
      <c r="L61" s="67">
        <f>_xlfn.T.TEST(G56:G61,G68:G73,2,2)</f>
        <v>0.20114045127729704</v>
      </c>
    </row>
    <row r="62" spans="1:12" ht="16" thickBot="1">
      <c r="A62" s="39">
        <v>30.08</v>
      </c>
      <c r="B62" s="57" t="s">
        <v>26</v>
      </c>
      <c r="C62" s="58" t="s">
        <v>118</v>
      </c>
      <c r="D62" s="59">
        <f t="shared" si="1"/>
        <v>2972.1677196793121</v>
      </c>
      <c r="E62" s="68">
        <f t="shared" si="2"/>
        <v>13.374754738556904</v>
      </c>
      <c r="F62" s="68">
        <f t="shared" si="3"/>
        <v>2460.9548718944702</v>
      </c>
      <c r="G62" s="68">
        <f t="shared" si="4"/>
        <v>81.813659305002332</v>
      </c>
    </row>
    <row r="63" spans="1:12" ht="16" thickBot="1">
      <c r="A63" s="39">
        <v>30.23</v>
      </c>
      <c r="B63" s="57" t="s">
        <v>27</v>
      </c>
      <c r="C63" s="58" t="s">
        <v>120</v>
      </c>
      <c r="D63" s="59">
        <f t="shared" si="1"/>
        <v>2388.680342852409</v>
      </c>
      <c r="E63" s="68">
        <f t="shared" si="2"/>
        <v>10.74906154283584</v>
      </c>
      <c r="F63" s="68">
        <f t="shared" si="3"/>
        <v>1977.8273238817944</v>
      </c>
      <c r="G63" s="68">
        <f t="shared" si="4"/>
        <v>65.425978295792078</v>
      </c>
    </row>
    <row r="64" spans="1:12" ht="16" thickBot="1">
      <c r="A64" s="39">
        <v>29.93</v>
      </c>
      <c r="B64" s="57" t="s">
        <v>28</v>
      </c>
      <c r="C64" s="58" t="s">
        <v>122</v>
      </c>
      <c r="D64" s="59">
        <f t="shared" si="1"/>
        <v>2455.7448591688694</v>
      </c>
      <c r="E64" s="68">
        <f t="shared" si="2"/>
        <v>11.050851866259912</v>
      </c>
      <c r="F64" s="68">
        <f t="shared" si="3"/>
        <v>2033.3567433918238</v>
      </c>
      <c r="G64" s="68">
        <f t="shared" si="4"/>
        <v>67.937077961637939</v>
      </c>
    </row>
    <row r="65" spans="1:12" ht="16" thickBot="1">
      <c r="A65" s="39">
        <v>29.78</v>
      </c>
      <c r="B65" s="57" t="s">
        <v>29</v>
      </c>
      <c r="C65" s="58" t="s">
        <v>124</v>
      </c>
      <c r="D65" s="59">
        <f t="shared" si="1"/>
        <v>2678.2403017401871</v>
      </c>
      <c r="E65" s="68">
        <f t="shared" si="2"/>
        <v>12.052081357830842</v>
      </c>
      <c r="F65" s="68">
        <f t="shared" si="3"/>
        <v>2217.5829698408747</v>
      </c>
      <c r="G65" s="68">
        <f t="shared" si="4"/>
        <v>74.465512754898398</v>
      </c>
    </row>
    <row r="66" spans="1:12" ht="16" thickBot="1">
      <c r="A66" s="39">
        <v>30.05</v>
      </c>
      <c r="B66" s="57" t="s">
        <v>30</v>
      </c>
      <c r="C66" s="58" t="s">
        <v>126</v>
      </c>
      <c r="D66" s="59">
        <f t="shared" si="1"/>
        <v>2801.4191056315021</v>
      </c>
      <c r="E66" s="68">
        <f t="shared" si="2"/>
        <v>12.606385975341759</v>
      </c>
      <c r="F66" s="68">
        <f t="shared" si="3"/>
        <v>2319.5750194628836</v>
      </c>
      <c r="G66" s="68">
        <f t="shared" si="4"/>
        <v>77.190516454671666</v>
      </c>
    </row>
    <row r="67" spans="1:12" ht="16" thickBot="1">
      <c r="A67" s="39">
        <v>30.15</v>
      </c>
      <c r="B67" s="57" t="s">
        <v>31</v>
      </c>
      <c r="C67" s="58" t="s">
        <v>128</v>
      </c>
      <c r="D67" s="59">
        <f t="shared" si="1"/>
        <v>3200.2789410274545</v>
      </c>
      <c r="E67" s="68">
        <f t="shared" si="2"/>
        <v>14.401255234623545</v>
      </c>
      <c r="F67" s="68">
        <f t="shared" si="3"/>
        <v>2649.830963170732</v>
      </c>
      <c r="G67" s="68">
        <f t="shared" si="4"/>
        <v>87.888257484933064</v>
      </c>
      <c r="H67" s="68">
        <f>AVERAGE(G62:G67)</f>
        <v>75.786833709489258</v>
      </c>
      <c r="I67" s="68">
        <f>STDEV(G62:G67)</f>
        <v>8.4314801627024067</v>
      </c>
      <c r="J67" s="67">
        <f>_xlfn.T.TEST(G62:G67,G50:G55,2,2)</f>
        <v>3.3360647225293784E-2</v>
      </c>
      <c r="K67" s="67">
        <f>_xlfn.T.TEST(G62:G67,G56:G61,2,2)</f>
        <v>0.86429485970689235</v>
      </c>
      <c r="L67" s="73">
        <f>_xlfn.T.TEST(G62:G67,G68:G73,2,2)</f>
        <v>3.4415725387420569E-2</v>
      </c>
    </row>
    <row r="68" spans="1:12" ht="16" thickBot="1">
      <c r="A68" s="39">
        <v>30.15</v>
      </c>
      <c r="B68" s="57" t="s">
        <v>32</v>
      </c>
      <c r="C68" s="58" t="s">
        <v>130</v>
      </c>
      <c r="D68" s="59">
        <f t="shared" si="1"/>
        <v>2269.0230614758761</v>
      </c>
      <c r="E68" s="68">
        <f t="shared" si="2"/>
        <v>10.210603776641442</v>
      </c>
      <c r="F68" s="68">
        <f t="shared" si="3"/>
        <v>1878.7510949020252</v>
      </c>
      <c r="G68" s="68">
        <f t="shared" si="4"/>
        <v>62.31346915097928</v>
      </c>
    </row>
    <row r="69" spans="1:12" ht="16" thickBot="1">
      <c r="A69" s="39">
        <v>30.1</v>
      </c>
      <c r="B69" s="57" t="s">
        <v>33</v>
      </c>
      <c r="C69" s="58" t="s">
        <v>132</v>
      </c>
      <c r="D69" s="59">
        <f t="shared" si="1"/>
        <v>1675.3176841110896</v>
      </c>
      <c r="E69" s="68">
        <f t="shared" si="2"/>
        <v>7.5389295784999035</v>
      </c>
      <c r="F69" s="68">
        <f t="shared" si="3"/>
        <v>1387.1630424439822</v>
      </c>
      <c r="G69" s="68">
        <f t="shared" si="4"/>
        <v>46.085150911760202</v>
      </c>
    </row>
    <row r="70" spans="1:12" ht="16" thickBot="1">
      <c r="A70" s="39">
        <v>30.08</v>
      </c>
      <c r="B70" s="57" t="s">
        <v>34</v>
      </c>
      <c r="C70" s="58" t="s">
        <v>134</v>
      </c>
      <c r="D70" s="59">
        <f t="shared" si="1"/>
        <v>2216.8794179819142</v>
      </c>
      <c r="E70" s="68">
        <f t="shared" si="2"/>
        <v>9.9759573809186133</v>
      </c>
      <c r="F70" s="68">
        <f t="shared" si="3"/>
        <v>1835.5761580890248</v>
      </c>
      <c r="G70" s="68">
        <f t="shared" si="4"/>
        <v>61.023143553491522</v>
      </c>
    </row>
    <row r="71" spans="1:12" ht="16" thickBot="1">
      <c r="A71" s="39">
        <v>30.05</v>
      </c>
      <c r="B71" s="57" t="s">
        <v>35</v>
      </c>
      <c r="C71" s="58" t="s">
        <v>136</v>
      </c>
      <c r="D71" s="59">
        <f t="shared" si="1"/>
        <v>2483.0259908266767</v>
      </c>
      <c r="E71" s="68">
        <f t="shared" si="2"/>
        <v>11.173616958720045</v>
      </c>
      <c r="F71" s="68">
        <f t="shared" si="3"/>
        <v>2055.9455204044884</v>
      </c>
      <c r="G71" s="68">
        <f t="shared" si="4"/>
        <v>68.417488199816574</v>
      </c>
    </row>
    <row r="72" spans="1:12" ht="16" thickBot="1">
      <c r="A72" s="39">
        <v>29.96</v>
      </c>
      <c r="B72" s="57" t="s">
        <v>36</v>
      </c>
      <c r="C72" s="58" t="s">
        <v>138</v>
      </c>
      <c r="D72" s="59">
        <f t="shared" si="1"/>
        <v>2647.9718995018361</v>
      </c>
      <c r="E72" s="68">
        <f t="shared" si="2"/>
        <v>11.915873547758261</v>
      </c>
      <c r="F72" s="68">
        <f t="shared" si="3"/>
        <v>2192.52073278752</v>
      </c>
      <c r="G72" s="68">
        <f t="shared" si="4"/>
        <v>73.181599892774358</v>
      </c>
    </row>
    <row r="73" spans="1:12" ht="16" thickBot="1">
      <c r="A73" s="39">
        <v>30.13</v>
      </c>
      <c r="B73" s="60" t="s">
        <v>37</v>
      </c>
      <c r="C73" s="61" t="s">
        <v>140</v>
      </c>
      <c r="D73" s="62">
        <f t="shared" si="1"/>
        <v>2466.7576134784099</v>
      </c>
      <c r="E73" s="68">
        <f t="shared" si="2"/>
        <v>11.100409260652844</v>
      </c>
      <c r="F73" s="68">
        <f t="shared" si="3"/>
        <v>2042.4753039601233</v>
      </c>
      <c r="G73" s="68">
        <f t="shared" si="4"/>
        <v>67.788758843681492</v>
      </c>
      <c r="H73" s="68">
        <f>AVERAGE(G68:G73)</f>
        <v>63.134935092083907</v>
      </c>
      <c r="I73" s="68">
        <f>STDEV(G68:G73)</f>
        <v>9.4480529936581572</v>
      </c>
      <c r="J73" s="67">
        <f>_xlfn.T.TEST(G68:G73,G50:G55,2,2)</f>
        <v>0.49186089337099947</v>
      </c>
      <c r="K73" s="67">
        <f>_xlfn.T.TEST(G68:G73,G56:G61,2,2)</f>
        <v>0.20114045127729704</v>
      </c>
      <c r="L73" s="74">
        <f>_xlfn.T.TEST(G68:G73,G62:G67,2,2)</f>
        <v>3.4415725387420569E-2</v>
      </c>
    </row>
    <row r="74" spans="1:12">
      <c r="A74" s="63"/>
      <c r="B74" s="58" t="s">
        <v>155</v>
      </c>
    </row>
  </sheetData>
  <mergeCells count="1">
    <mergeCell ref="J49:L4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submission</vt:lpstr>
      <vt:lpstr>20250821_PDC Data_Sami Kazaz_EA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Aymerick Guillaume Eudes</dc:creator>
  <cp:lastModifiedBy>Aymerick Guillaume Eudes</cp:lastModifiedBy>
  <dcterms:created xsi:type="dcterms:W3CDTF">2025-08-25T20:49:42Z</dcterms:created>
  <dcterms:modified xsi:type="dcterms:W3CDTF">2025-08-25T21:39:02Z</dcterms:modified>
</cp:coreProperties>
</file>